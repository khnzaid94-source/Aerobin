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anz\OneDrive\Documents\2A\"/>
    </mc:Choice>
  </mc:AlternateContent>
  <xr:revisionPtr revIDLastSave="0" documentId="13_ncr:1_{AE7DE433-430E-4783-A6B7-D6123F8AE54D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1. Raw Data" sheetId="1" r:id="rId1"/>
    <sheet name="2. Cleaning Log" sheetId="2" r:id="rId2"/>
    <sheet name="3. Cleaned Data" sheetId="3" r:id="rId3"/>
    <sheet name="4. Key Findings" sheetId="4" r:id="rId4"/>
  </sheets>
  <definedNames>
    <definedName name="_xlnm._FilterDatabase" localSheetId="2" hidden="1">'3. Cleaned Data'!$A$3:$F$245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4" l="1"/>
  <c r="B15" i="4"/>
  <c r="B14" i="4"/>
  <c r="B13" i="4"/>
  <c r="B12" i="4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<sst xmlns="http://schemas.openxmlformats.org/spreadsheetml/2006/main" count="1417" uniqueCount="461">
  <si>
    <t>RAW DATA — CPCB Air Quality Bulletin (Source: urbanemissionsinfo / CPCB)</t>
  </si>
  <si>
    <t>⚠  This sheet shows the original data BEFORE cleaning. Issues documented in Sheet 2.</t>
  </si>
  <si>
    <t>S.No</t>
  </si>
  <si>
    <t>City</t>
  </si>
  <si>
    <t>Air Quality</t>
  </si>
  <si>
    <t>Index Value</t>
  </si>
  <si>
    <t>Prominent Pollutant</t>
  </si>
  <si>
    <t>No. of Stations Participated/ Total Stations</t>
  </si>
  <si>
    <t>AQI</t>
  </si>
  <si>
    <t>Category</t>
  </si>
  <si>
    <t>Color Code</t>
  </si>
  <si>
    <t>Possible Health Impacts</t>
  </si>
  <si>
    <t>1</t>
  </si>
  <si>
    <t>Agartala</t>
  </si>
  <si>
    <t>Good</t>
  </si>
  <si>
    <t>50</t>
  </si>
  <si>
    <t>PM
10</t>
  </si>
  <si>
    <t>1/2</t>
  </si>
  <si>
    <t>2</t>
  </si>
  <si>
    <t>Agra</t>
  </si>
  <si>
    <t>Moderate</t>
  </si>
  <si>
    <t>152</t>
  </si>
  <si>
    <t>PM
, PM
10
2.5</t>
  </si>
  <si>
    <t>6/6</t>
  </si>
  <si>
    <t>3</t>
  </si>
  <si>
    <t>Ahmedabad</t>
  </si>
  <si>
    <t>Poor</t>
  </si>
  <si>
    <t>215</t>
  </si>
  <si>
    <t>PM
2.5</t>
  </si>
  <si>
    <t>7/9</t>
  </si>
  <si>
    <t>4</t>
  </si>
  <si>
    <t>Ahmednagar</t>
  </si>
  <si>
    <t>108</t>
  </si>
  <si>
    <t>1/1</t>
  </si>
  <si>
    <t>5</t>
  </si>
  <si>
    <t>Ajmer</t>
  </si>
  <si>
    <t>126</t>
  </si>
  <si>
    <t>6</t>
  </si>
  <si>
    <t>Akola</t>
  </si>
  <si>
    <t>110</t>
  </si>
  <si>
    <t>7</t>
  </si>
  <si>
    <t>Alwar</t>
  </si>
  <si>
    <t>Satisfactory</t>
  </si>
  <si>
    <t>99</t>
  </si>
  <si>
    <t>8</t>
  </si>
  <si>
    <t>Amaravati</t>
  </si>
  <si>
    <t>226</t>
  </si>
  <si>
    <t>9</t>
  </si>
  <si>
    <t>Ambala</t>
  </si>
  <si>
    <t>136</t>
  </si>
  <si>
    <t>10</t>
  </si>
  <si>
    <t>Amravati</t>
  </si>
  <si>
    <t>103</t>
  </si>
  <si>
    <t>2/2</t>
  </si>
  <si>
    <t>11</t>
  </si>
  <si>
    <t>Amritsar</t>
  </si>
  <si>
    <t>92</t>
  </si>
  <si>
    <t>12</t>
  </si>
  <si>
    <t>Anantapur</t>
  </si>
  <si>
    <t>13</t>
  </si>
  <si>
    <t>Angul</t>
  </si>
  <si>
    <t>255</t>
  </si>
  <si>
    <t>14</t>
  </si>
  <si>
    <t>Ankleshwar</t>
  </si>
  <si>
    <t>15</t>
  </si>
  <si>
    <t>Araria</t>
  </si>
  <si>
    <t>237</t>
  </si>
  <si>
    <t>16</t>
  </si>
  <si>
    <t>Arrah</t>
  </si>
  <si>
    <t>187</t>
  </si>
  <si>
    <t>17</t>
  </si>
  <si>
    <t>Asansol</t>
  </si>
  <si>
    <t>245</t>
  </si>
  <si>
    <t>4/4</t>
  </si>
  <si>
    <t>18</t>
  </si>
  <si>
    <t>Aurangabad (Bihar)</t>
  </si>
  <si>
    <t>157</t>
  </si>
  <si>
    <t>19</t>
  </si>
  <si>
    <t>Aurangabad
(Maharashtra)</t>
  </si>
  <si>
    <t>83</t>
  </si>
  <si>
    <t>1/3</t>
  </si>
  <si>
    <t>20</t>
  </si>
  <si>
    <t>Baddi</t>
  </si>
  <si>
    <t>Very Poor</t>
  </si>
  <si>
    <t>322</t>
  </si>
  <si>
    <t>21</t>
  </si>
  <si>
    <t>Badlapur</t>
  </si>
  <si>
    <t>142</t>
  </si>
  <si>
    <t>22</t>
  </si>
  <si>
    <t>Bagalkot</t>
  </si>
  <si>
    <t>54</t>
  </si>
  <si>
    <t>23</t>
  </si>
  <si>
    <t>Baghpat</t>
  </si>
  <si>
    <t>233</t>
  </si>
  <si>
    <t>24</t>
  </si>
  <si>
    <t>Bahadurgarh</t>
  </si>
  <si>
    <t>224</t>
  </si>
  <si>
    <t>25</t>
  </si>
  <si>
    <t>Balasore</t>
  </si>
  <si>
    <t>346</t>
  </si>
  <si>
    <t>26</t>
  </si>
  <si>
    <t>Ballabgarh</t>
  </si>
  <si>
    <t>27</t>
  </si>
  <si>
    <t>Banswara</t>
  </si>
  <si>
    <t>125</t>
  </si>
  <si>
    <t>28</t>
  </si>
  <si>
    <t>Baran</t>
  </si>
  <si>
    <t>121</t>
  </si>
  <si>
    <t>29</t>
  </si>
  <si>
    <t>Barbil</t>
  </si>
  <si>
    <t>167</t>
  </si>
  <si>
    <t>30</t>
  </si>
  <si>
    <t>Bareilly</t>
  </si>
  <si>
    <t>109</t>
  </si>
  <si>
    <t>31</t>
  </si>
  <si>
    <t>Baripada</t>
  </si>
  <si>
    <t>278</t>
  </si>
  <si>
    <t>32</t>
  </si>
  <si>
    <t>Barmer</t>
  </si>
  <si>
    <t>124</t>
  </si>
  <si>
    <t>33</t>
  </si>
  <si>
    <t>Barrackpore</t>
  </si>
  <si>
    <t>34</t>
  </si>
  <si>
    <t>Bathinda</t>
  </si>
  <si>
    <t>159</t>
  </si>
  <si>
    <t>35</t>
  </si>
  <si>
    <t>Begusarai</t>
  </si>
  <si>
    <t>181</t>
  </si>
  <si>
    <t>36</t>
  </si>
  <si>
    <t>Belapur</t>
  </si>
  <si>
    <t>128</t>
  </si>
  <si>
    <t>37</t>
  </si>
  <si>
    <t>Belgaum</t>
  </si>
  <si>
    <t>102</t>
  </si>
  <si>
    <t>38</t>
  </si>
  <si>
    <t>Bengaluru</t>
  </si>
  <si>
    <t>127</t>
  </si>
  <si>
    <t>13/14</t>
  </si>
  <si>
    <t>39</t>
  </si>
  <si>
    <t>Bettiah</t>
  </si>
  <si>
    <t>40</t>
  </si>
  <si>
    <t>Bhagalpur</t>
  </si>
  <si>
    <t>158</t>
  </si>
  <si>
    <t>41</t>
  </si>
  <si>
    <t>Bharatpur</t>
  </si>
  <si>
    <t>97</t>
  </si>
  <si>
    <t>42</t>
  </si>
  <si>
    <t>Bhilai</t>
  </si>
  <si>
    <t>93</t>
  </si>
  <si>
    <t>3/3</t>
  </si>
  <si>
    <t>43</t>
  </si>
  <si>
    <t>Bhilwara</t>
  </si>
  <si>
    <t>44</t>
  </si>
  <si>
    <t>Bhiwadi</t>
  </si>
  <si>
    <t>350</t>
  </si>
  <si>
    <t>45</t>
  </si>
  <si>
    <t>Bhiwandi</t>
  </si>
  <si>
    <t>46</t>
  </si>
  <si>
    <t>Bhiwani</t>
  </si>
  <si>
    <t>47</t>
  </si>
  <si>
    <t>Bhopal</t>
  </si>
  <si>
    <t>231</t>
  </si>
  <si>
    <t>O
, PM
3
2.5</t>
  </si>
  <si>
    <t>48</t>
  </si>
  <si>
    <t>Bhubaneswar</t>
  </si>
  <si>
    <t>304</t>
  </si>
  <si>
    <t>49</t>
  </si>
  <si>
    <t>Bihar Sharif</t>
  </si>
  <si>
    <t>144</t>
  </si>
  <si>
    <t>Bikaner</t>
  </si>
  <si>
    <t>191</t>
  </si>
  <si>
    <t>Data Cleaning Log — Steps Performed on CPCB AQI Bulletin Data</t>
  </si>
  <si>
    <t>#</t>
  </si>
  <si>
    <t>Issue Found</t>
  </si>
  <si>
    <t>Column(s) Affected</t>
  </si>
  <si>
    <t>Action Taken</t>
  </si>
  <si>
    <t>Result</t>
  </si>
  <si>
    <t>Embedded newlines inside CSV cells
(PM\n2.5 stored as 'PM' + newline + '2.5')</t>
  </si>
  <si>
    <t>Prominent_Pollutant</t>
  </si>
  <si>
    <t>Regex replacement: PM\n2.5 → PM2.5, PM\n10 → PM10, O\n3 → O3, NO\n2 → NO2</t>
  </si>
  <si>
    <t>Pollutant names now clean and standardised</t>
  </si>
  <si>
    <t>4 completely empty columns present
(AQI, Category, Color Code, Possible Health Impacts)</t>
  </si>
  <si>
    <t>AQI, Category, Color Code, Possible Health Impacts</t>
  </si>
  <si>
    <t>Dropped all 4 columns — contained zero non-null values across all 242 rows</t>
  </si>
  <si>
    <t>Dataset reduced from 11 to 7 columns, then to 5 after further steps</t>
  </si>
  <si>
    <t>Redundant index column (S.No)
duplicated the row number</t>
  </si>
  <si>
    <t>S.No (col 1)</t>
  </si>
  <si>
    <t>Dropped — adds no analytical value; Excel row number is sufficient</t>
  </si>
  <si>
    <t>5 clean analytical columns remain</t>
  </si>
  <si>
    <t>Column names verbose and non-machine-readable
(e.g. 'No. of Stations Participated/ Total Stations')</t>
  </si>
  <si>
    <t>All column names</t>
  </si>
  <si>
    <t>Renamed: City, AQI_Category, AQI_Value, Prominent_Pollutant, Stations_Reporting</t>
  </si>
  <si>
    <t>Consistent snake_case, no special characters</t>
  </si>
  <si>
    <t>Stations column stored as fraction string '3/5'
(stations reporting / total stations)</t>
  </si>
  <si>
    <t>No. of Stations</t>
  </si>
  <si>
    <t>Extracted numerator only (stations reporting) as integer; denominator dropped</t>
  </si>
  <si>
    <t>AQI_Value and Stations_Reporting both now integer dtype</t>
  </si>
  <si>
    <t>Residual pollutant artifacts: 'PM, PM102.5'
(from multiline parse — two pollutants merged)</t>
  </si>
  <si>
    <t>Standardised to 'PM2.5, PM10' — 27 affected rows</t>
  </si>
  <si>
    <t>All pollutant values now human-readable</t>
  </si>
  <si>
    <t>Null / missing value check</t>
  </si>
  <si>
    <t>All columns</t>
  </si>
  <si>
    <t>df.isnull().sum() run on cleaned data — confirmed 0 nulls in any column</t>
  </si>
  <si>
    <t>Dataset is complete — no imputation required</t>
  </si>
  <si>
    <t>Duplicate row check</t>
  </si>
  <si>
    <t>City column</t>
  </si>
  <si>
    <t>Checked for duplicate city entries — all 242 rows have unique cities</t>
  </si>
  <si>
    <t>No duplicates found; all 242 rows retained</t>
  </si>
  <si>
    <t>CLEANED DATASET — CPCB Air Quality Index Bulletin | 242 Indian Cities | Source: CPCB via urbanemissionsinfo.github.io</t>
  </si>
  <si>
    <t>Columns: City | AQI_Category | AQI_Value (0–500) | Prominent_Pollutant | Stations_Reporting | AQI_Band (derived)</t>
  </si>
  <si>
    <t>AQI_Category</t>
  </si>
  <si>
    <t>AQI_Value</t>
  </si>
  <si>
    <t>Stations_Reporting</t>
  </si>
  <si>
    <t>AQI_Band</t>
  </si>
  <si>
    <t>PM10</t>
  </si>
  <si>
    <t>Good (0–50)</t>
  </si>
  <si>
    <t>PM, PM102.5</t>
  </si>
  <si>
    <t>Moderate (101–200)</t>
  </si>
  <si>
    <t>PM2.5</t>
  </si>
  <si>
    <t>Poor (201–300)</t>
  </si>
  <si>
    <t>Satisfactory (51–100)</t>
  </si>
  <si>
    <t>Very Poor (301–400)</t>
  </si>
  <si>
    <t>O, PM32.5</t>
  </si>
  <si>
    <t>Bilaspur</t>
  </si>
  <si>
    <t>Bileipada</t>
  </si>
  <si>
    <t>Boisar</t>
  </si>
  <si>
    <t>Brajrajnagar</t>
  </si>
  <si>
    <t>Bulandshahr</t>
  </si>
  <si>
    <t>Bundi</t>
  </si>
  <si>
    <t>Byasanagar</t>
  </si>
  <si>
    <t>Byrnihat</t>
  </si>
  <si>
    <t>Chamarajanagar</t>
  </si>
  <si>
    <t>Chandigarh</t>
  </si>
  <si>
    <t>Chandrapur</t>
  </si>
  <si>
    <t>Charkhi Dadri</t>
  </si>
  <si>
    <t>Chennai</t>
  </si>
  <si>
    <t>Chhal</t>
  </si>
  <si>
    <t>O3</t>
  </si>
  <si>
    <t>Chhapra</t>
  </si>
  <si>
    <t>Chikkamagaluru</t>
  </si>
  <si>
    <t>Chittoor</t>
  </si>
  <si>
    <t>Chittorgarh</t>
  </si>
  <si>
    <t>Churu</t>
  </si>
  <si>
    <t>Coimbatore</t>
  </si>
  <si>
    <t>Cuddalore</t>
  </si>
  <si>
    <t>Cuttack</t>
  </si>
  <si>
    <t>Damoh</t>
  </si>
  <si>
    <t>Dausa</t>
  </si>
  <si>
    <t>Dehradun</t>
  </si>
  <si>
    <t>Delhi</t>
  </si>
  <si>
    <t>Dewas</t>
  </si>
  <si>
    <t>Dhanbad</t>
  </si>
  <si>
    <t>Dharuhera</t>
  </si>
  <si>
    <t>Dharwad</t>
  </si>
  <si>
    <t>Dholpur</t>
  </si>
  <si>
    <t>Dhule</t>
  </si>
  <si>
    <t>Dungarpur</t>
  </si>
  <si>
    <t>Durgapur</t>
  </si>
  <si>
    <t>Eloor</t>
  </si>
  <si>
    <t>Faridabad</t>
  </si>
  <si>
    <t>Fatehabad</t>
  </si>
  <si>
    <t>Firozabad</t>
  </si>
  <si>
    <t>Gandhinagar</t>
  </si>
  <si>
    <t>Gaya</t>
  </si>
  <si>
    <t>Ghaziabad</t>
  </si>
  <si>
    <t>Gorakhpur</t>
  </si>
  <si>
    <t>Greater Noida</t>
  </si>
  <si>
    <t>Gummidipoondi</t>
  </si>
  <si>
    <t>Gurugram</t>
  </si>
  <si>
    <t>Guwahati</t>
  </si>
  <si>
    <t>CO, PM10</t>
  </si>
  <si>
    <t>Gwalior</t>
  </si>
  <si>
    <t>Hajipur</t>
  </si>
  <si>
    <t>Haldia</t>
  </si>
  <si>
    <t>Hanumangarh</t>
  </si>
  <si>
    <t>Hapur</t>
  </si>
  <si>
    <t>Hisar</t>
  </si>
  <si>
    <t>Howrah</t>
  </si>
  <si>
    <t>Hubballi</t>
  </si>
  <si>
    <t>Hyderabad</t>
  </si>
  <si>
    <t>Indore</t>
  </si>
  <si>
    <t>Jabalpur</t>
  </si>
  <si>
    <t>O, NO, PM3210</t>
  </si>
  <si>
    <t>Jaipur</t>
  </si>
  <si>
    <t>Jaisalmer</t>
  </si>
  <si>
    <t>Jalandhar</t>
  </si>
  <si>
    <t>Jalgaon</t>
  </si>
  <si>
    <t>Jalna</t>
  </si>
  <si>
    <t>Jalore</t>
  </si>
  <si>
    <t>Jhalawar</t>
  </si>
  <si>
    <t>Jhansi</t>
  </si>
  <si>
    <t>Jhunjhunu</t>
  </si>
  <si>
    <t>Jind</t>
  </si>
  <si>
    <t>Jodhpur</t>
  </si>
  <si>
    <t>Kadapa</t>
  </si>
  <si>
    <t>Kaithal</t>
  </si>
  <si>
    <t>Kalaburagi</t>
  </si>
  <si>
    <t>Kalyan</t>
  </si>
  <si>
    <t>Kannur</t>
  </si>
  <si>
    <t>Kanpur</t>
  </si>
  <si>
    <t>Karauli</t>
  </si>
  <si>
    <t>Karnal</t>
  </si>
  <si>
    <t>Karur</t>
  </si>
  <si>
    <t>Katihar</t>
  </si>
  <si>
    <t>Katni</t>
  </si>
  <si>
    <t>Keonjhar</t>
  </si>
  <si>
    <t>Khurja</t>
  </si>
  <si>
    <t>Kishanganj</t>
  </si>
  <si>
    <t>Kohima</t>
  </si>
  <si>
    <t>SO2</t>
  </si>
  <si>
    <t>Kolhapur</t>
  </si>
  <si>
    <t>Kolkata</t>
  </si>
  <si>
    <t>Koppal</t>
  </si>
  <si>
    <t>Korba</t>
  </si>
  <si>
    <t>Kota</t>
  </si>
  <si>
    <t>Kunjemura</t>
  </si>
  <si>
    <t>Kurukshetra</t>
  </si>
  <si>
    <t>Latur</t>
  </si>
  <si>
    <t>Lucknow</t>
  </si>
  <si>
    <t>Ludhiana</t>
  </si>
  <si>
    <t>Madikeri</t>
  </si>
  <si>
    <t>Madurai</t>
  </si>
  <si>
    <t>Mahad</t>
  </si>
  <si>
    <t>Malegaon</t>
  </si>
  <si>
    <t>Mandi Gobindgarh</t>
  </si>
  <si>
    <t>Mandideep</t>
  </si>
  <si>
    <t>Manesar</t>
  </si>
  <si>
    <t>Manguraha</t>
  </si>
  <si>
    <t>Meerut</t>
  </si>
  <si>
    <t>Milupara</t>
  </si>
  <si>
    <t>Mira-Bhayandar</t>
  </si>
  <si>
    <t>Moradabad</t>
  </si>
  <si>
    <t>Motihari</t>
  </si>
  <si>
    <t>Mumbai</t>
  </si>
  <si>
    <t>Munger</t>
  </si>
  <si>
    <t>Muzaffarnagar</t>
  </si>
  <si>
    <t>Muzaffarpur</t>
  </si>
  <si>
    <t>Mysuru</t>
  </si>
  <si>
    <t>Nagaon</t>
  </si>
  <si>
    <t>Nagaur</t>
  </si>
  <si>
    <t>Nagpur</t>
  </si>
  <si>
    <t>Naharlagun</t>
  </si>
  <si>
    <t>Nalbari</t>
  </si>
  <si>
    <t>Nanded</t>
  </si>
  <si>
    <t>Narnaul</t>
  </si>
  <si>
    <t>Nashik</t>
  </si>
  <si>
    <t>Navi Mumbai</t>
  </si>
  <si>
    <t>Nayagarh</t>
  </si>
  <si>
    <t>Noida</t>
  </si>
  <si>
    <t>Pali</t>
  </si>
  <si>
    <t>Palwal</t>
  </si>
  <si>
    <t>Pampore</t>
  </si>
  <si>
    <t>Panchgaon</t>
  </si>
  <si>
    <t>Panchkula</t>
  </si>
  <si>
    <t>Panipat</t>
  </si>
  <si>
    <t>Parbhani</t>
  </si>
  <si>
    <t>Patiala</t>
  </si>
  <si>
    <t>Patna</t>
  </si>
  <si>
    <t>Perundurai</t>
  </si>
  <si>
    <t>Pimpri-Chinchwad</t>
  </si>
  <si>
    <t>Pithampur</t>
  </si>
  <si>
    <t>Pratapgarh</t>
  </si>
  <si>
    <t>Prayagraj</t>
  </si>
  <si>
    <t>Puducherry</t>
  </si>
  <si>
    <t>Pune</t>
  </si>
  <si>
    <t>Purnia</t>
  </si>
  <si>
    <t>Raipur</t>
  </si>
  <si>
    <t>CO, PM, PM102.5</t>
  </si>
  <si>
    <t>Rairangpur</t>
  </si>
  <si>
    <t>Rajamahendravaram</t>
  </si>
  <si>
    <t>Rajsamand</t>
  </si>
  <si>
    <t>Ratlam</t>
  </si>
  <si>
    <t>Rishikesh</t>
  </si>
  <si>
    <t>Rohtak</t>
  </si>
  <si>
    <t>Rourkela</t>
  </si>
  <si>
    <t>Rupnagar</t>
  </si>
  <si>
    <t>Sagar</t>
  </si>
  <si>
    <t>Saharsa</t>
  </si>
  <si>
    <t>Samastipur</t>
  </si>
  <si>
    <t>Sangli</t>
  </si>
  <si>
    <t>Sasaram</t>
  </si>
  <si>
    <t>Satna</t>
  </si>
  <si>
    <t>Sawai Madhopur</t>
  </si>
  <si>
    <t>Shillong</t>
  </si>
  <si>
    <t>Shivamogga</t>
  </si>
  <si>
    <t>Sikar</t>
  </si>
  <si>
    <t>Silchar</t>
  </si>
  <si>
    <t>Siliguri</t>
  </si>
  <si>
    <t>Sirohi</t>
  </si>
  <si>
    <t>Sirsa</t>
  </si>
  <si>
    <t>Sivasagar</t>
  </si>
  <si>
    <t>Siwan</t>
  </si>
  <si>
    <t>Solapur</t>
  </si>
  <si>
    <t>Sonipat</t>
  </si>
  <si>
    <t>Sri Ganganagar</t>
  </si>
  <si>
    <t>Srinagar</t>
  </si>
  <si>
    <t>Suakati</t>
  </si>
  <si>
    <t>Surat</t>
  </si>
  <si>
    <t>Talcher</t>
  </si>
  <si>
    <t>Tensa</t>
  </si>
  <si>
    <t>Thane</t>
  </si>
  <si>
    <t>Thiruvananthapuram</t>
  </si>
  <si>
    <t>Thoothukudi</t>
  </si>
  <si>
    <t>Thrissur</t>
  </si>
  <si>
    <t>Tirumala</t>
  </si>
  <si>
    <t>Tirupati</t>
  </si>
  <si>
    <t>Tonk</t>
  </si>
  <si>
    <t>Tumakuru</t>
  </si>
  <si>
    <t>Tumidih</t>
  </si>
  <si>
    <t>Udaipur</t>
  </si>
  <si>
    <t>Ulhasnagar</t>
  </si>
  <si>
    <t>Vapi</t>
  </si>
  <si>
    <t>Varanasi</t>
  </si>
  <si>
    <t>Vatva</t>
  </si>
  <si>
    <t>Vijayawada</t>
  </si>
  <si>
    <t>Virar</t>
  </si>
  <si>
    <t>Visakhapatnam</t>
  </si>
  <si>
    <t>Vrindavan</t>
  </si>
  <si>
    <t>Yadgir</t>
  </si>
  <si>
    <t>Yamuna Nagar</t>
  </si>
  <si>
    <t>Key Findings — CPCB AQI Bulletin Analysis</t>
  </si>
  <si>
    <t>SUMMARY STATISTICS</t>
  </si>
  <si>
    <t>Total cities in dataset</t>
  </si>
  <si>
    <t>AQI — Minimum (cleanest city)</t>
  </si>
  <si>
    <t>Damoh, Madhya Pradesh (AQI 36 — Good)</t>
  </si>
  <si>
    <t>AQI — Maximum (most polluted)</t>
  </si>
  <si>
    <t>Noida, Uttar Pradesh (AQI 382 — Very Poor)</t>
  </si>
  <si>
    <t>AQI — Mean (all cities)</t>
  </si>
  <si>
    <t>Mean falls in Moderate category</t>
  </si>
  <si>
    <t>AQI — Median</t>
  </si>
  <si>
    <t>Median also in Moderate range</t>
  </si>
  <si>
    <t>Cities — Good category</t>
  </si>
  <si>
    <t>Only 4 of 242 cities (1.7%)</t>
  </si>
  <si>
    <t>Cities — Satisfactory</t>
  </si>
  <si>
    <t>45 cities</t>
  </si>
  <si>
    <t>Cities — Moderate</t>
  </si>
  <si>
    <t>127 cities — the most common category</t>
  </si>
  <si>
    <t>Cities — Poor</t>
  </si>
  <si>
    <t>50 cities</t>
  </si>
  <si>
    <t>Cities — Very Poor</t>
  </si>
  <si>
    <t>16 cities</t>
  </si>
  <si>
    <t>Cities with PM2.5 as main pollutant</t>
  </si>
  <si>
    <t>133 of 242 cities = 54.9%</t>
  </si>
  <si>
    <t>Cities with PM10 as main pollutant</t>
  </si>
  <si>
    <t>73 of 242 cities = 30.2%</t>
  </si>
  <si>
    <t>Pune AQI</t>
  </si>
  <si>
    <t>Moderate — PM2.5 main pollutant, 7 stations</t>
  </si>
  <si>
    <t>Pune rank (by AQI ascending)</t>
  </si>
  <si>
    <t>Pune is above national average AQI</t>
  </si>
  <si>
    <t>KEY PATTERNS IDENTIFIED</t>
  </si>
  <si>
    <t>Pattern 1: PM2.5 is India's dominant air pollutant (55% of cities)</t>
  </si>
  <si>
    <t>Of 242 cities, 133 report PM2.5 as their leading pollutant — not PM10 or ozone. This directly reflects vehicle exhaust, biomass burning, and fine construction dust. PM2.5 is the more dangerous of the two particulate pollutants as particles penetrate the lungs.</t>
  </si>
  <si>
    <t>Pattern 2: Over half of Indian cities sit in the Moderate band (AQI 101–200)</t>
  </si>
  <si>
    <t>127 of 242 cities (52.5%) fall in the Moderate category. Only 4 cities (1.7%) achieved Good air quality on this day. This suggests that 'average' in India means air quality already in the harmful range — not a healthy baseline.</t>
  </si>
  <si>
    <t>Pattern 3: North India / Delhi-NCR forms a clear high-pollution cluster</t>
  </si>
  <si>
    <t>The 5 worst cities (Noida 382, Delhi 373, Dharuhera 367, Greater Noida 366, Byasanagar 353) are geographically concentrated in North India. This pattern reflects poor meteorological dispersion — temperature inversions trap vehicle and industrial emissions near ground level.</t>
  </si>
  <si>
    <t>ANOMALIES OBSERVED</t>
  </si>
  <si>
    <t>Anomaly 1: Byasanagar (AQI 353) — an obscure industrial town matching Delhi's pollution level</t>
  </si>
  <si>
    <t>Byasanagar is a small industrial town in Odisha rarely mentioned in air quality discourse. Yet on this date its AQI (353, Very Poor) rivals Delhi (373) and exceeds Mumbai by a factor of 3. With only 1 monitoring station, its reading may reflect a localised industrial emission event rather than a city-wide average. This is statistically anomalous given the city's size and media invisibility.</t>
  </si>
  <si>
    <t>Anomaly 2: Damoh (AQI 36) — India's cleanest city that day, but only 1 monitoring station</t>
  </si>
  <si>
    <t>Damoh in Madhya Pradesh recorded AQI 36 — the only 'Good' reading below 40 in the entire dataset of 242 cities, and significantly cleaner than nearby urban centres. Unlike top-performing cities in other studies (e.g. coastal Kerala cities), Damoh has no obvious geographic advantage. With only 1 station reporting, the reading may not be spatially representative, flagging a data reliability concern.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</si>
</sst>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i/>
      <sz val="9"/>
      <color rgb="FF7B0000"/>
      <name val="Arial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i/>
      <sz val="9"/>
      <color rgb="FF155724"/>
      <name val="Arial"/>
      <charset val="1"/>
    </font>
    <font>
      <b/>
      <sz val="10"/>
      <color rgb="FFFFFFFF"/>
      <name val="Arial"/>
      <charset val="1"/>
    </font>
    <font>
      <b/>
      <sz val="9"/>
      <color rgb="FF155724"/>
      <name val="Arial"/>
      <charset val="1"/>
    </font>
    <font>
      <b/>
      <sz val="9"/>
      <color rgb="FF856404"/>
      <name val="Arial"/>
      <charset val="1"/>
    </font>
    <font>
      <b/>
      <sz val="9"/>
      <color rgb="FF721C24"/>
      <name val="Arial"/>
      <charset val="1"/>
    </font>
    <font>
      <b/>
      <sz val="9"/>
      <color rgb="FF0C5460"/>
      <name val="Arial"/>
      <charset val="1"/>
    </font>
    <font>
      <b/>
      <sz val="9"/>
      <color rgb="FF491217"/>
      <name val="Arial"/>
      <charset val="1"/>
    </font>
    <font>
      <b/>
      <sz val="12"/>
      <color rgb="FFFFFFFF"/>
      <name val="Arial"/>
      <charset val="1"/>
    </font>
    <font>
      <b/>
      <sz val="9"/>
      <color rgb="FF1B2A4A"/>
      <name val="Arial"/>
      <charset val="1"/>
    </font>
    <font>
      <b/>
      <sz val="9"/>
      <color rgb="FF7B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7B0000"/>
        <bgColor rgb="FF721C24"/>
      </patternFill>
    </fill>
    <fill>
      <patternFill patternType="solid">
        <fgColor rgb="FFFFF3CD"/>
        <bgColor rgb="FFFFF9E6"/>
      </patternFill>
    </fill>
    <fill>
      <patternFill patternType="solid">
        <fgColor rgb="FF455A64"/>
        <bgColor rgb="FF0C5460"/>
      </patternFill>
    </fill>
    <fill>
      <patternFill patternType="solid">
        <fgColor rgb="FFF5F5F5"/>
        <bgColor rgb="FFF0F4F8"/>
      </patternFill>
    </fill>
    <fill>
      <patternFill patternType="solid">
        <fgColor rgb="FFFFFFFF"/>
        <bgColor rgb="FFFFF9E6"/>
      </patternFill>
    </fill>
    <fill>
      <patternFill patternType="solid">
        <fgColor rgb="FF1B2A4A"/>
        <bgColor rgb="FF333399"/>
      </patternFill>
    </fill>
    <fill>
      <patternFill patternType="solid">
        <fgColor rgb="FF0D6E6E"/>
        <bgColor rgb="FF008080"/>
      </patternFill>
    </fill>
    <fill>
      <patternFill patternType="solid">
        <fgColor rgb="FFF0F4F8"/>
        <bgColor rgb="FFF5F5F5"/>
      </patternFill>
    </fill>
    <fill>
      <patternFill patternType="solid">
        <fgColor rgb="FF155724"/>
        <bgColor rgb="FF0C5460"/>
      </patternFill>
    </fill>
    <fill>
      <patternFill patternType="solid">
        <fgColor rgb="FFD4EDDA"/>
        <bgColor rgb="FFD1ECF1"/>
      </patternFill>
    </fill>
    <fill>
      <patternFill patternType="solid">
        <fgColor rgb="FFF8D7DA"/>
        <bgColor rgb="FFF5C6CB"/>
      </patternFill>
    </fill>
    <fill>
      <patternFill patternType="solid">
        <fgColor rgb="FFD1ECF1"/>
        <bgColor rgb="FFD4EDDA"/>
      </patternFill>
    </fill>
    <fill>
      <patternFill patternType="solid">
        <fgColor rgb="FFF5C6CB"/>
        <bgColor rgb="FFF8D7DA"/>
      </patternFill>
    </fill>
    <fill>
      <patternFill patternType="solid">
        <fgColor rgb="FFE8F5E9"/>
        <bgColor rgb="FFF0F4F8"/>
      </patternFill>
    </fill>
    <fill>
      <patternFill patternType="solid">
        <fgColor rgb="FFFFF9E6"/>
        <bgColor rgb="FFF5F5F5"/>
      </patternFill>
    </fill>
    <fill>
      <patternFill patternType="solid">
        <fgColor rgb="FFE3F2FD"/>
        <bgColor rgb="FFF0F4F8"/>
      </patternFill>
    </fill>
    <fill>
      <patternFill patternType="solid">
        <fgColor rgb="FFFFEBEE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1" fontId="6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1" fontId="6" fillId="13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1" fontId="6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" fontId="6" fillId="9" borderId="1" xfId="0" applyNumberFormat="1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5" fillId="16" borderId="2" xfId="0" applyFont="1" applyFill="1" applyBorder="1" applyAlignment="1">
      <alignment horizontal="left" vertical="center" wrapText="1"/>
    </xf>
    <xf numFmtId="0" fontId="15" fillId="17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5" fillId="1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7B0000"/>
      <rgbColor rgb="FF008000"/>
      <rgbColor rgb="FF000080"/>
      <rgbColor rgb="FF856404"/>
      <rgbColor rgb="FF800080"/>
      <rgbColor rgb="FF0D6E6E"/>
      <rgbColor rgb="FFCCCCCC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721C24"/>
      <rgbColor rgb="FF008080"/>
      <rgbColor rgb="FF0000FF"/>
      <rgbColor rgb="FF00CCFF"/>
      <rgbColor rgb="FFE3F2FD"/>
      <rgbColor rgb="FFD4EDDA"/>
      <rgbColor rgb="FFFFF9E6"/>
      <rgbColor rgb="FFE8F5E9"/>
      <rgbColor rgb="FFFFEBEE"/>
      <rgbColor rgb="FFF0F4F8"/>
      <rgbColor rgb="FFF5C6CB"/>
      <rgbColor rgb="FF3366FF"/>
      <rgbColor rgb="FF33CCCC"/>
      <rgbColor rgb="FF99CC00"/>
      <rgbColor rgb="FFFFCC00"/>
      <rgbColor rgb="FFFF9900"/>
      <rgbColor rgb="FFFF6600"/>
      <rgbColor rgb="FF455A64"/>
      <rgbColor rgb="FF969696"/>
      <rgbColor rgb="FF0C5460"/>
      <rgbColor rgb="FF339966"/>
      <rgbColor rgb="FF155724"/>
      <rgbColor rgb="FF491217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zoomScale="135" zoomScaleNormal="135" workbookViewId="0">
      <pane ySplit="3" topLeftCell="A4" activePane="bottomLeft" state="frozen"/>
      <selection pane="bottomLeft" sqref="A1:K1"/>
    </sheetView>
  </sheetViews>
  <sheetFormatPr defaultColWidth="8.6328125" defaultRowHeight="14.5" x14ac:dyDescent="0.35"/>
  <cols>
    <col min="1" max="2" width="5" customWidth="1"/>
    <col min="3" max="3" width="22" customWidth="1"/>
    <col min="4" max="4" width="15" customWidth="1"/>
    <col min="5" max="5" width="12" customWidth="1"/>
    <col min="6" max="6" width="25" customWidth="1"/>
    <col min="7" max="7" width="20" customWidth="1"/>
    <col min="8" max="9" width="10" customWidth="1"/>
    <col min="10" max="10" width="12" customWidth="1"/>
    <col min="11" max="11" width="30" customWidth="1"/>
  </cols>
  <sheetData>
    <row r="1" spans="1:11" ht="21.75" customHeight="1" x14ac:dyDescent="0.3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5" customHeight="1" x14ac:dyDescent="0.3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27.75" customHeight="1" x14ac:dyDescent="0.35">
      <c r="A3" s="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3.5" customHeight="1" x14ac:dyDescent="0.35">
      <c r="A4" s="2" t="s">
        <v>12</v>
      </c>
      <c r="B4" s="2" t="s">
        <v>12</v>
      </c>
      <c r="C4" s="3" t="s">
        <v>13</v>
      </c>
      <c r="D4" s="2" t="s">
        <v>14</v>
      </c>
      <c r="E4" s="2" t="s">
        <v>15</v>
      </c>
      <c r="F4" s="4" t="s">
        <v>16</v>
      </c>
      <c r="G4" s="2" t="s">
        <v>17</v>
      </c>
      <c r="H4" s="2"/>
      <c r="I4" s="2"/>
      <c r="J4" s="2"/>
      <c r="K4" s="2"/>
    </row>
    <row r="5" spans="1:11" ht="13.5" customHeight="1" x14ac:dyDescent="0.35">
      <c r="A5" s="5" t="s">
        <v>18</v>
      </c>
      <c r="B5" s="5" t="s">
        <v>18</v>
      </c>
      <c r="C5" s="6" t="s">
        <v>19</v>
      </c>
      <c r="D5" s="5" t="s">
        <v>20</v>
      </c>
      <c r="E5" s="5" t="s">
        <v>21</v>
      </c>
      <c r="F5" s="7" t="s">
        <v>22</v>
      </c>
      <c r="G5" s="5" t="s">
        <v>23</v>
      </c>
      <c r="H5" s="5"/>
      <c r="I5" s="5"/>
      <c r="J5" s="5"/>
      <c r="K5" s="5"/>
    </row>
    <row r="6" spans="1:11" ht="13.5" customHeight="1" x14ac:dyDescent="0.35">
      <c r="A6" s="2" t="s">
        <v>24</v>
      </c>
      <c r="B6" s="2" t="s">
        <v>24</v>
      </c>
      <c r="C6" s="3" t="s">
        <v>25</v>
      </c>
      <c r="D6" s="2" t="s">
        <v>26</v>
      </c>
      <c r="E6" s="2" t="s">
        <v>27</v>
      </c>
      <c r="F6" s="4" t="s">
        <v>28</v>
      </c>
      <c r="G6" s="2" t="s">
        <v>29</v>
      </c>
      <c r="H6" s="2"/>
      <c r="I6" s="2"/>
      <c r="J6" s="2"/>
      <c r="K6" s="2"/>
    </row>
    <row r="7" spans="1:11" ht="13.5" customHeight="1" x14ac:dyDescent="0.35">
      <c r="A7" s="5" t="s">
        <v>30</v>
      </c>
      <c r="B7" s="5" t="s">
        <v>30</v>
      </c>
      <c r="C7" s="6" t="s">
        <v>31</v>
      </c>
      <c r="D7" s="5" t="s">
        <v>20</v>
      </c>
      <c r="E7" s="5" t="s">
        <v>32</v>
      </c>
      <c r="F7" s="7" t="s">
        <v>16</v>
      </c>
      <c r="G7" s="5" t="s">
        <v>33</v>
      </c>
      <c r="H7" s="5"/>
      <c r="I7" s="5"/>
      <c r="J7" s="5"/>
      <c r="K7" s="5"/>
    </row>
    <row r="8" spans="1:11" ht="13.5" customHeight="1" x14ac:dyDescent="0.35">
      <c r="A8" s="2" t="s">
        <v>34</v>
      </c>
      <c r="B8" s="2" t="s">
        <v>34</v>
      </c>
      <c r="C8" s="3" t="s">
        <v>35</v>
      </c>
      <c r="D8" s="2" t="s">
        <v>20</v>
      </c>
      <c r="E8" s="2" t="s">
        <v>36</v>
      </c>
      <c r="F8" s="4" t="s">
        <v>16</v>
      </c>
      <c r="G8" s="2" t="s">
        <v>33</v>
      </c>
      <c r="H8" s="2"/>
      <c r="I8" s="2"/>
      <c r="J8" s="2"/>
      <c r="K8" s="2"/>
    </row>
    <row r="9" spans="1:11" ht="13.5" customHeight="1" x14ac:dyDescent="0.35">
      <c r="A9" s="5" t="s">
        <v>37</v>
      </c>
      <c r="B9" s="5" t="s">
        <v>37</v>
      </c>
      <c r="C9" s="6" t="s">
        <v>38</v>
      </c>
      <c r="D9" s="5" t="s">
        <v>20</v>
      </c>
      <c r="E9" s="5" t="s">
        <v>39</v>
      </c>
      <c r="F9" s="7" t="s">
        <v>16</v>
      </c>
      <c r="G9" s="5" t="s">
        <v>33</v>
      </c>
      <c r="H9" s="5"/>
      <c r="I9" s="5"/>
      <c r="J9" s="5"/>
      <c r="K9" s="5"/>
    </row>
    <row r="10" spans="1:11" ht="13.5" customHeight="1" x14ac:dyDescent="0.35">
      <c r="A10" s="2" t="s">
        <v>40</v>
      </c>
      <c r="B10" s="2" t="s">
        <v>40</v>
      </c>
      <c r="C10" s="3" t="s">
        <v>41</v>
      </c>
      <c r="D10" s="2" t="s">
        <v>42</v>
      </c>
      <c r="E10" s="2" t="s">
        <v>43</v>
      </c>
      <c r="F10" s="4" t="s">
        <v>16</v>
      </c>
      <c r="G10" s="2" t="s">
        <v>33</v>
      </c>
      <c r="H10" s="2"/>
      <c r="I10" s="2"/>
      <c r="J10" s="2"/>
      <c r="K10" s="2"/>
    </row>
    <row r="11" spans="1:11" ht="13.5" customHeight="1" x14ac:dyDescent="0.35">
      <c r="A11" s="5" t="s">
        <v>44</v>
      </c>
      <c r="B11" s="5" t="s">
        <v>44</v>
      </c>
      <c r="C11" s="6" t="s">
        <v>45</v>
      </c>
      <c r="D11" s="5" t="s">
        <v>26</v>
      </c>
      <c r="E11" s="5" t="s">
        <v>46</v>
      </c>
      <c r="F11" s="7" t="s">
        <v>28</v>
      </c>
      <c r="G11" s="5" t="s">
        <v>33</v>
      </c>
      <c r="H11" s="5"/>
      <c r="I11" s="5"/>
      <c r="J11" s="5"/>
      <c r="K11" s="5"/>
    </row>
    <row r="12" spans="1:11" ht="13.5" customHeight="1" x14ac:dyDescent="0.35">
      <c r="A12" s="2" t="s">
        <v>47</v>
      </c>
      <c r="B12" s="2" t="s">
        <v>47</v>
      </c>
      <c r="C12" s="3" t="s">
        <v>48</v>
      </c>
      <c r="D12" s="2" t="s">
        <v>20</v>
      </c>
      <c r="E12" s="2" t="s">
        <v>49</v>
      </c>
      <c r="F12" s="4" t="s">
        <v>28</v>
      </c>
      <c r="G12" s="2" t="s">
        <v>33</v>
      </c>
      <c r="H12" s="2"/>
      <c r="I12" s="2"/>
      <c r="J12" s="2"/>
      <c r="K12" s="2"/>
    </row>
    <row r="13" spans="1:11" ht="13.5" customHeight="1" x14ac:dyDescent="0.35">
      <c r="A13" s="5" t="s">
        <v>50</v>
      </c>
      <c r="B13" s="5" t="s">
        <v>50</v>
      </c>
      <c r="C13" s="6" t="s">
        <v>51</v>
      </c>
      <c r="D13" s="5" t="s">
        <v>20</v>
      </c>
      <c r="E13" s="5" t="s">
        <v>52</v>
      </c>
      <c r="F13" s="7" t="s">
        <v>16</v>
      </c>
      <c r="G13" s="5" t="s">
        <v>53</v>
      </c>
      <c r="H13" s="5"/>
      <c r="I13" s="5"/>
      <c r="J13" s="5"/>
      <c r="K13" s="5"/>
    </row>
    <row r="14" spans="1:11" ht="13.5" customHeight="1" x14ac:dyDescent="0.35">
      <c r="A14" s="2" t="s">
        <v>54</v>
      </c>
      <c r="B14" s="2" t="s">
        <v>54</v>
      </c>
      <c r="C14" s="3" t="s">
        <v>55</v>
      </c>
      <c r="D14" s="2" t="s">
        <v>42</v>
      </c>
      <c r="E14" s="2" t="s">
        <v>56</v>
      </c>
      <c r="F14" s="4" t="s">
        <v>16</v>
      </c>
      <c r="G14" s="2" t="s">
        <v>33</v>
      </c>
      <c r="H14" s="2"/>
      <c r="I14" s="2"/>
      <c r="J14" s="2"/>
      <c r="K14" s="2"/>
    </row>
    <row r="15" spans="1:11" ht="13.5" customHeight="1" x14ac:dyDescent="0.35">
      <c r="A15" s="5" t="s">
        <v>57</v>
      </c>
      <c r="B15" s="5" t="s">
        <v>57</v>
      </c>
      <c r="C15" s="6" t="s">
        <v>58</v>
      </c>
      <c r="D15" s="5" t="s">
        <v>42</v>
      </c>
      <c r="E15" s="5" t="s">
        <v>43</v>
      </c>
      <c r="F15" s="7" t="s">
        <v>28</v>
      </c>
      <c r="G15" s="5" t="s">
        <v>33</v>
      </c>
      <c r="H15" s="5"/>
      <c r="I15" s="5"/>
      <c r="J15" s="5"/>
      <c r="K15" s="5"/>
    </row>
    <row r="16" spans="1:11" ht="13.5" customHeight="1" x14ac:dyDescent="0.35">
      <c r="A16" s="2" t="s">
        <v>59</v>
      </c>
      <c r="B16" s="2" t="s">
        <v>59</v>
      </c>
      <c r="C16" s="3" t="s">
        <v>60</v>
      </c>
      <c r="D16" s="2" t="s">
        <v>26</v>
      </c>
      <c r="E16" s="2" t="s">
        <v>61</v>
      </c>
      <c r="F16" s="4" t="s">
        <v>28</v>
      </c>
      <c r="G16" s="2" t="s">
        <v>33</v>
      </c>
      <c r="H16" s="2"/>
      <c r="I16" s="2"/>
      <c r="J16" s="2"/>
      <c r="K16" s="2"/>
    </row>
    <row r="17" spans="1:11" ht="13.5" customHeight="1" x14ac:dyDescent="0.35">
      <c r="A17" s="5" t="s">
        <v>62</v>
      </c>
      <c r="B17" s="5" t="s">
        <v>62</v>
      </c>
      <c r="C17" s="6" t="s">
        <v>63</v>
      </c>
      <c r="D17" s="5" t="s">
        <v>26</v>
      </c>
      <c r="E17" s="5" t="s">
        <v>27</v>
      </c>
      <c r="F17" s="7" t="s">
        <v>28</v>
      </c>
      <c r="G17" s="5" t="s">
        <v>33</v>
      </c>
      <c r="H17" s="5"/>
      <c r="I17" s="5"/>
      <c r="J17" s="5"/>
      <c r="K17" s="5"/>
    </row>
    <row r="18" spans="1:11" ht="13.5" customHeight="1" x14ac:dyDescent="0.35">
      <c r="A18" s="2" t="s">
        <v>64</v>
      </c>
      <c r="B18" s="2" t="s">
        <v>64</v>
      </c>
      <c r="C18" s="3" t="s">
        <v>65</v>
      </c>
      <c r="D18" s="2" t="s">
        <v>26</v>
      </c>
      <c r="E18" s="2" t="s">
        <v>66</v>
      </c>
      <c r="F18" s="4" t="s">
        <v>28</v>
      </c>
      <c r="G18" s="2" t="s">
        <v>33</v>
      </c>
      <c r="H18" s="2"/>
      <c r="I18" s="2"/>
      <c r="J18" s="2"/>
      <c r="K18" s="2"/>
    </row>
    <row r="19" spans="1:11" ht="13.5" customHeight="1" x14ac:dyDescent="0.35">
      <c r="A19" s="5" t="s">
        <v>67</v>
      </c>
      <c r="B19" s="5" t="s">
        <v>67</v>
      </c>
      <c r="C19" s="6" t="s">
        <v>68</v>
      </c>
      <c r="D19" s="5" t="s">
        <v>20</v>
      </c>
      <c r="E19" s="5" t="s">
        <v>69</v>
      </c>
      <c r="F19" s="7" t="s">
        <v>28</v>
      </c>
      <c r="G19" s="5" t="s">
        <v>33</v>
      </c>
      <c r="H19" s="5"/>
      <c r="I19" s="5"/>
      <c r="J19" s="5"/>
      <c r="K19" s="5"/>
    </row>
    <row r="20" spans="1:11" ht="13.5" customHeight="1" x14ac:dyDescent="0.35">
      <c r="A20" s="2" t="s">
        <v>70</v>
      </c>
      <c r="B20" s="2" t="s">
        <v>70</v>
      </c>
      <c r="C20" s="3" t="s">
        <v>71</v>
      </c>
      <c r="D20" s="2" t="s">
        <v>26</v>
      </c>
      <c r="E20" s="2" t="s">
        <v>72</v>
      </c>
      <c r="F20" s="4" t="s">
        <v>28</v>
      </c>
      <c r="G20" s="2" t="s">
        <v>73</v>
      </c>
      <c r="H20" s="2"/>
      <c r="I20" s="2"/>
      <c r="J20" s="2"/>
      <c r="K20" s="2"/>
    </row>
    <row r="21" spans="1:11" ht="13.5" customHeight="1" x14ac:dyDescent="0.35">
      <c r="A21" s="5" t="s">
        <v>74</v>
      </c>
      <c r="B21" s="5" t="s">
        <v>74</v>
      </c>
      <c r="C21" s="6" t="s">
        <v>75</v>
      </c>
      <c r="D21" s="5" t="s">
        <v>20</v>
      </c>
      <c r="E21" s="5" t="s">
        <v>76</v>
      </c>
      <c r="F21" s="7" t="s">
        <v>16</v>
      </c>
      <c r="G21" s="5" t="s">
        <v>33</v>
      </c>
      <c r="H21" s="5"/>
      <c r="I21" s="5"/>
      <c r="J21" s="5"/>
      <c r="K21" s="5"/>
    </row>
    <row r="22" spans="1:11" ht="13.5" customHeight="1" x14ac:dyDescent="0.35">
      <c r="A22" s="2" t="s">
        <v>77</v>
      </c>
      <c r="B22" s="2" t="s">
        <v>77</v>
      </c>
      <c r="C22" s="8" t="s">
        <v>78</v>
      </c>
      <c r="D22" s="2" t="s">
        <v>42</v>
      </c>
      <c r="E22" s="2" t="s">
        <v>79</v>
      </c>
      <c r="F22" s="4" t="s">
        <v>28</v>
      </c>
      <c r="G22" s="2" t="s">
        <v>80</v>
      </c>
      <c r="H22" s="2"/>
      <c r="I22" s="2"/>
      <c r="J22" s="2"/>
      <c r="K22" s="2"/>
    </row>
    <row r="23" spans="1:11" ht="13.5" customHeight="1" x14ac:dyDescent="0.35">
      <c r="A23" s="5" t="s">
        <v>81</v>
      </c>
      <c r="B23" s="5" t="s">
        <v>81</v>
      </c>
      <c r="C23" s="6" t="s">
        <v>82</v>
      </c>
      <c r="D23" s="5" t="s">
        <v>83</v>
      </c>
      <c r="E23" s="5" t="s">
        <v>84</v>
      </c>
      <c r="F23" s="7" t="s">
        <v>28</v>
      </c>
      <c r="G23" s="5" t="s">
        <v>33</v>
      </c>
      <c r="H23" s="5"/>
      <c r="I23" s="5"/>
      <c r="J23" s="5"/>
      <c r="K23" s="5"/>
    </row>
    <row r="24" spans="1:11" ht="13.5" customHeight="1" x14ac:dyDescent="0.35">
      <c r="A24" s="2" t="s">
        <v>12</v>
      </c>
      <c r="B24" s="2" t="s">
        <v>85</v>
      </c>
      <c r="C24" s="3" t="s">
        <v>86</v>
      </c>
      <c r="D24" s="2" t="s">
        <v>20</v>
      </c>
      <c r="E24" s="2" t="s">
        <v>87</v>
      </c>
      <c r="F24" s="4" t="s">
        <v>16</v>
      </c>
      <c r="G24" s="2" t="s">
        <v>33</v>
      </c>
      <c r="H24" s="2"/>
      <c r="I24" s="2"/>
      <c r="J24" s="2"/>
      <c r="K24" s="2"/>
    </row>
    <row r="25" spans="1:11" ht="13.5" customHeight="1" x14ac:dyDescent="0.35">
      <c r="A25" s="5" t="s">
        <v>18</v>
      </c>
      <c r="B25" s="5" t="s">
        <v>88</v>
      </c>
      <c r="C25" s="6" t="s">
        <v>89</v>
      </c>
      <c r="D25" s="5" t="s">
        <v>42</v>
      </c>
      <c r="E25" s="5" t="s">
        <v>90</v>
      </c>
      <c r="F25" s="7" t="s">
        <v>16</v>
      </c>
      <c r="G25" s="5" t="s">
        <v>33</v>
      </c>
      <c r="H25" s="5"/>
      <c r="I25" s="5"/>
      <c r="J25" s="5"/>
      <c r="K25" s="5"/>
    </row>
    <row r="26" spans="1:11" ht="13.5" customHeight="1" x14ac:dyDescent="0.35">
      <c r="A26" s="2" t="s">
        <v>24</v>
      </c>
      <c r="B26" s="2" t="s">
        <v>91</v>
      </c>
      <c r="C26" s="3" t="s">
        <v>92</v>
      </c>
      <c r="D26" s="2" t="s">
        <v>26</v>
      </c>
      <c r="E26" s="2" t="s">
        <v>93</v>
      </c>
      <c r="F26" s="4" t="s">
        <v>28</v>
      </c>
      <c r="G26" s="2" t="s">
        <v>17</v>
      </c>
      <c r="H26" s="2"/>
      <c r="I26" s="2"/>
      <c r="J26" s="2"/>
      <c r="K26" s="2"/>
    </row>
    <row r="27" spans="1:11" ht="13.5" customHeight="1" x14ac:dyDescent="0.35">
      <c r="A27" s="5" t="s">
        <v>30</v>
      </c>
      <c r="B27" s="5" t="s">
        <v>94</v>
      </c>
      <c r="C27" s="6" t="s">
        <v>95</v>
      </c>
      <c r="D27" s="5" t="s">
        <v>26</v>
      </c>
      <c r="E27" s="5" t="s">
        <v>96</v>
      </c>
      <c r="F27" s="7" t="s">
        <v>28</v>
      </c>
      <c r="G27" s="5" t="s">
        <v>33</v>
      </c>
      <c r="H27" s="5"/>
      <c r="I27" s="5"/>
      <c r="J27" s="5"/>
      <c r="K27" s="5"/>
    </row>
    <row r="28" spans="1:11" ht="13.5" customHeight="1" x14ac:dyDescent="0.35">
      <c r="A28" s="2" t="s">
        <v>34</v>
      </c>
      <c r="B28" s="2" t="s">
        <v>97</v>
      </c>
      <c r="C28" s="3" t="s">
        <v>98</v>
      </c>
      <c r="D28" s="2" t="s">
        <v>83</v>
      </c>
      <c r="E28" s="2" t="s">
        <v>99</v>
      </c>
      <c r="F28" s="4" t="s">
        <v>28</v>
      </c>
      <c r="G28" s="2" t="s">
        <v>33</v>
      </c>
      <c r="H28" s="2"/>
      <c r="I28" s="2"/>
      <c r="J28" s="2"/>
      <c r="K28" s="2"/>
    </row>
    <row r="29" spans="1:11" ht="13.5" customHeight="1" x14ac:dyDescent="0.35">
      <c r="A29" s="5" t="s">
        <v>37</v>
      </c>
      <c r="B29" s="5" t="s">
        <v>100</v>
      </c>
      <c r="C29" s="6" t="s">
        <v>101</v>
      </c>
      <c r="D29" s="5" t="s">
        <v>26</v>
      </c>
      <c r="E29" s="5" t="s">
        <v>61</v>
      </c>
      <c r="F29" s="7" t="s">
        <v>28</v>
      </c>
      <c r="G29" s="5" t="s">
        <v>33</v>
      </c>
      <c r="H29" s="5"/>
      <c r="I29" s="5"/>
      <c r="J29" s="5"/>
      <c r="K29" s="5"/>
    </row>
    <row r="30" spans="1:11" ht="13.5" customHeight="1" x14ac:dyDescent="0.35">
      <c r="A30" s="2" t="s">
        <v>40</v>
      </c>
      <c r="B30" s="2" t="s">
        <v>102</v>
      </c>
      <c r="C30" s="3" t="s">
        <v>103</v>
      </c>
      <c r="D30" s="2" t="s">
        <v>20</v>
      </c>
      <c r="E30" s="2" t="s">
        <v>104</v>
      </c>
      <c r="F30" s="4" t="s">
        <v>16</v>
      </c>
      <c r="G30" s="2" t="s">
        <v>33</v>
      </c>
      <c r="H30" s="2"/>
      <c r="I30" s="2"/>
      <c r="J30" s="2"/>
      <c r="K30" s="2"/>
    </row>
    <row r="31" spans="1:11" ht="13.5" customHeight="1" x14ac:dyDescent="0.35">
      <c r="A31" s="5" t="s">
        <v>44</v>
      </c>
      <c r="B31" s="5" t="s">
        <v>105</v>
      </c>
      <c r="C31" s="6" t="s">
        <v>106</v>
      </c>
      <c r="D31" s="5" t="s">
        <v>20</v>
      </c>
      <c r="E31" s="5" t="s">
        <v>107</v>
      </c>
      <c r="F31" s="7" t="s">
        <v>16</v>
      </c>
      <c r="G31" s="5" t="s">
        <v>33</v>
      </c>
      <c r="H31" s="5"/>
      <c r="I31" s="5"/>
      <c r="J31" s="5"/>
      <c r="K31" s="5"/>
    </row>
    <row r="32" spans="1:11" ht="13.5" customHeight="1" x14ac:dyDescent="0.35">
      <c r="A32" s="2" t="s">
        <v>47</v>
      </c>
      <c r="B32" s="2" t="s">
        <v>108</v>
      </c>
      <c r="C32" s="3" t="s">
        <v>109</v>
      </c>
      <c r="D32" s="2" t="s">
        <v>20</v>
      </c>
      <c r="E32" s="2" t="s">
        <v>110</v>
      </c>
      <c r="F32" s="4" t="s">
        <v>28</v>
      </c>
      <c r="G32" s="2" t="s">
        <v>33</v>
      </c>
      <c r="H32" s="2"/>
      <c r="I32" s="2"/>
      <c r="J32" s="2"/>
      <c r="K32" s="2"/>
    </row>
    <row r="33" spans="1:11" ht="13.5" customHeight="1" x14ac:dyDescent="0.35">
      <c r="A33" s="5" t="s">
        <v>50</v>
      </c>
      <c r="B33" s="5" t="s">
        <v>111</v>
      </c>
      <c r="C33" s="6" t="s">
        <v>112</v>
      </c>
      <c r="D33" s="5" t="s">
        <v>20</v>
      </c>
      <c r="E33" s="5" t="s">
        <v>113</v>
      </c>
      <c r="F33" s="7" t="s">
        <v>16</v>
      </c>
      <c r="G33" s="5" t="s">
        <v>53</v>
      </c>
      <c r="H33" s="5"/>
      <c r="I33" s="5"/>
      <c r="J33" s="5"/>
      <c r="K33" s="5"/>
    </row>
    <row r="34" spans="1:11" ht="13.5" customHeight="1" x14ac:dyDescent="0.35">
      <c r="A34" s="2" t="s">
        <v>54</v>
      </c>
      <c r="B34" s="2" t="s">
        <v>114</v>
      </c>
      <c r="C34" s="3" t="s">
        <v>115</v>
      </c>
      <c r="D34" s="2" t="s">
        <v>26</v>
      </c>
      <c r="E34" s="2" t="s">
        <v>116</v>
      </c>
      <c r="F34" s="4" t="s">
        <v>28</v>
      </c>
      <c r="G34" s="2" t="s">
        <v>33</v>
      </c>
      <c r="H34" s="2"/>
      <c r="I34" s="2"/>
      <c r="J34" s="2"/>
      <c r="K34" s="2"/>
    </row>
    <row r="35" spans="1:11" ht="13.5" customHeight="1" x14ac:dyDescent="0.35">
      <c r="A35" s="5" t="s">
        <v>57</v>
      </c>
      <c r="B35" s="5" t="s">
        <v>117</v>
      </c>
      <c r="C35" s="6" t="s">
        <v>118</v>
      </c>
      <c r="D35" s="5" t="s">
        <v>20</v>
      </c>
      <c r="E35" s="5" t="s">
        <v>119</v>
      </c>
      <c r="F35" s="7" t="s">
        <v>16</v>
      </c>
      <c r="G35" s="5" t="s">
        <v>33</v>
      </c>
      <c r="H35" s="5"/>
      <c r="I35" s="5"/>
      <c r="J35" s="5"/>
      <c r="K35" s="5"/>
    </row>
    <row r="36" spans="1:11" ht="13.5" customHeight="1" x14ac:dyDescent="0.35">
      <c r="A36" s="2" t="s">
        <v>59</v>
      </c>
      <c r="B36" s="2" t="s">
        <v>120</v>
      </c>
      <c r="C36" s="3" t="s">
        <v>121</v>
      </c>
      <c r="D36" s="2" t="s">
        <v>20</v>
      </c>
      <c r="E36" s="2" t="s">
        <v>21</v>
      </c>
      <c r="F36" s="4" t="s">
        <v>28</v>
      </c>
      <c r="G36" s="2" t="s">
        <v>33</v>
      </c>
      <c r="H36" s="2"/>
      <c r="I36" s="2"/>
      <c r="J36" s="2"/>
      <c r="K36" s="2"/>
    </row>
    <row r="37" spans="1:11" ht="13.5" customHeight="1" x14ac:dyDescent="0.35">
      <c r="A37" s="5" t="s">
        <v>62</v>
      </c>
      <c r="B37" s="5" t="s">
        <v>122</v>
      </c>
      <c r="C37" s="6" t="s">
        <v>123</v>
      </c>
      <c r="D37" s="5" t="s">
        <v>20</v>
      </c>
      <c r="E37" s="5" t="s">
        <v>124</v>
      </c>
      <c r="F37" s="7" t="s">
        <v>28</v>
      </c>
      <c r="G37" s="5" t="s">
        <v>33</v>
      </c>
      <c r="H37" s="5"/>
      <c r="I37" s="5"/>
      <c r="J37" s="5"/>
      <c r="K37" s="5"/>
    </row>
    <row r="38" spans="1:11" ht="13.5" customHeight="1" x14ac:dyDescent="0.35">
      <c r="A38" s="2" t="s">
        <v>64</v>
      </c>
      <c r="B38" s="2" t="s">
        <v>125</v>
      </c>
      <c r="C38" s="3" t="s">
        <v>126</v>
      </c>
      <c r="D38" s="2" t="s">
        <v>20</v>
      </c>
      <c r="E38" s="2" t="s">
        <v>127</v>
      </c>
      <c r="F38" s="4" t="s">
        <v>16</v>
      </c>
      <c r="G38" s="2" t="s">
        <v>33</v>
      </c>
      <c r="H38" s="2"/>
      <c r="I38" s="2"/>
      <c r="J38" s="2"/>
      <c r="K38" s="2"/>
    </row>
    <row r="39" spans="1:11" ht="13.5" customHeight="1" x14ac:dyDescent="0.35">
      <c r="A39" s="5" t="s">
        <v>67</v>
      </c>
      <c r="B39" s="5" t="s">
        <v>128</v>
      </c>
      <c r="C39" s="6" t="s">
        <v>129</v>
      </c>
      <c r="D39" s="5" t="s">
        <v>20</v>
      </c>
      <c r="E39" s="5" t="s">
        <v>130</v>
      </c>
      <c r="F39" s="7" t="s">
        <v>16</v>
      </c>
      <c r="G39" s="5" t="s">
        <v>33</v>
      </c>
      <c r="H39" s="5"/>
      <c r="I39" s="5"/>
      <c r="J39" s="5"/>
      <c r="K39" s="5"/>
    </row>
    <row r="40" spans="1:11" ht="13.5" customHeight="1" x14ac:dyDescent="0.35">
      <c r="A40" s="2" t="s">
        <v>70</v>
      </c>
      <c r="B40" s="2" t="s">
        <v>131</v>
      </c>
      <c r="C40" s="3" t="s">
        <v>132</v>
      </c>
      <c r="D40" s="2" t="s">
        <v>20</v>
      </c>
      <c r="E40" s="2" t="s">
        <v>133</v>
      </c>
      <c r="F40" s="4" t="s">
        <v>16</v>
      </c>
      <c r="G40" s="2" t="s">
        <v>33</v>
      </c>
      <c r="H40" s="2"/>
      <c r="I40" s="2"/>
      <c r="J40" s="2"/>
      <c r="K40" s="2"/>
    </row>
    <row r="41" spans="1:11" ht="13.5" customHeight="1" x14ac:dyDescent="0.35">
      <c r="A41" s="5" t="s">
        <v>74</v>
      </c>
      <c r="B41" s="5" t="s">
        <v>134</v>
      </c>
      <c r="C41" s="6" t="s">
        <v>135</v>
      </c>
      <c r="D41" s="5" t="s">
        <v>20</v>
      </c>
      <c r="E41" s="5" t="s">
        <v>136</v>
      </c>
      <c r="F41" s="7" t="s">
        <v>28</v>
      </c>
      <c r="G41" s="5" t="s">
        <v>137</v>
      </c>
      <c r="H41" s="5"/>
      <c r="I41" s="5"/>
      <c r="J41" s="5"/>
      <c r="K41" s="5"/>
    </row>
    <row r="42" spans="1:11" ht="13.5" customHeight="1" x14ac:dyDescent="0.35">
      <c r="A42" s="2" t="s">
        <v>77</v>
      </c>
      <c r="B42" s="2" t="s">
        <v>138</v>
      </c>
      <c r="C42" s="3" t="s">
        <v>139</v>
      </c>
      <c r="D42" s="2" t="s">
        <v>42</v>
      </c>
      <c r="E42" s="2" t="s">
        <v>43</v>
      </c>
      <c r="F42" s="4" t="s">
        <v>28</v>
      </c>
      <c r="G42" s="2" t="s">
        <v>33</v>
      </c>
      <c r="H42" s="2"/>
      <c r="I42" s="2"/>
      <c r="J42" s="2"/>
      <c r="K42" s="2"/>
    </row>
    <row r="43" spans="1:11" ht="13.5" customHeight="1" x14ac:dyDescent="0.35">
      <c r="A43" s="5" t="s">
        <v>81</v>
      </c>
      <c r="B43" s="5" t="s">
        <v>140</v>
      </c>
      <c r="C43" s="6" t="s">
        <v>141</v>
      </c>
      <c r="D43" s="5" t="s">
        <v>20</v>
      </c>
      <c r="E43" s="5" t="s">
        <v>142</v>
      </c>
      <c r="F43" s="7" t="s">
        <v>22</v>
      </c>
      <c r="G43" s="5" t="s">
        <v>53</v>
      </c>
      <c r="H43" s="5"/>
      <c r="I43" s="5"/>
      <c r="J43" s="5"/>
      <c r="K43" s="5"/>
    </row>
    <row r="44" spans="1:11" ht="13.5" customHeight="1" x14ac:dyDescent="0.35">
      <c r="A44" s="2" t="s">
        <v>12</v>
      </c>
      <c r="B44" s="2" t="s">
        <v>143</v>
      </c>
      <c r="C44" s="3" t="s">
        <v>144</v>
      </c>
      <c r="D44" s="2" t="s">
        <v>42</v>
      </c>
      <c r="E44" s="2" t="s">
        <v>145</v>
      </c>
      <c r="F44" s="4" t="s">
        <v>16</v>
      </c>
      <c r="G44" s="2" t="s">
        <v>33</v>
      </c>
      <c r="H44" s="2"/>
      <c r="I44" s="2"/>
      <c r="J44" s="2"/>
      <c r="K44" s="2"/>
    </row>
    <row r="45" spans="1:11" ht="13.5" customHeight="1" x14ac:dyDescent="0.35">
      <c r="A45" s="5" t="s">
        <v>18</v>
      </c>
      <c r="B45" s="5" t="s">
        <v>146</v>
      </c>
      <c r="C45" s="6" t="s">
        <v>147</v>
      </c>
      <c r="D45" s="5" t="s">
        <v>42</v>
      </c>
      <c r="E45" s="5" t="s">
        <v>148</v>
      </c>
      <c r="F45" s="7" t="s">
        <v>22</v>
      </c>
      <c r="G45" s="5" t="s">
        <v>149</v>
      </c>
      <c r="H45" s="5"/>
      <c r="I45" s="5"/>
      <c r="J45" s="5"/>
      <c r="K45" s="5"/>
    </row>
    <row r="46" spans="1:11" ht="13.5" customHeight="1" x14ac:dyDescent="0.35">
      <c r="A46" s="2" t="s">
        <v>24</v>
      </c>
      <c r="B46" s="2" t="s">
        <v>150</v>
      </c>
      <c r="C46" s="3" t="s">
        <v>151</v>
      </c>
      <c r="D46" s="2" t="s">
        <v>26</v>
      </c>
      <c r="E46" s="2" t="s">
        <v>46</v>
      </c>
      <c r="F46" s="4" t="s">
        <v>28</v>
      </c>
      <c r="G46" s="2" t="s">
        <v>33</v>
      </c>
      <c r="H46" s="2"/>
      <c r="I46" s="2"/>
      <c r="J46" s="2"/>
      <c r="K46" s="2"/>
    </row>
    <row r="47" spans="1:11" ht="13.5" customHeight="1" x14ac:dyDescent="0.35">
      <c r="A47" s="5" t="s">
        <v>30</v>
      </c>
      <c r="B47" s="5" t="s">
        <v>152</v>
      </c>
      <c r="C47" s="6" t="s">
        <v>153</v>
      </c>
      <c r="D47" s="5" t="s">
        <v>83</v>
      </c>
      <c r="E47" s="5" t="s">
        <v>154</v>
      </c>
      <c r="F47" s="7" t="s">
        <v>28</v>
      </c>
      <c r="G47" s="5" t="s">
        <v>53</v>
      </c>
      <c r="H47" s="5"/>
      <c r="I47" s="5"/>
      <c r="J47" s="5"/>
      <c r="K47" s="5"/>
    </row>
    <row r="48" spans="1:11" ht="13.5" customHeight="1" x14ac:dyDescent="0.35">
      <c r="A48" s="2" t="s">
        <v>34</v>
      </c>
      <c r="B48" s="2" t="s">
        <v>155</v>
      </c>
      <c r="C48" s="3" t="s">
        <v>156</v>
      </c>
      <c r="D48" s="2" t="s">
        <v>20</v>
      </c>
      <c r="E48" s="2" t="s">
        <v>76</v>
      </c>
      <c r="F48" s="4" t="s">
        <v>28</v>
      </c>
      <c r="G48" s="2" t="s">
        <v>33</v>
      </c>
      <c r="H48" s="2"/>
      <c r="I48" s="2"/>
      <c r="J48" s="2"/>
      <c r="K48" s="2"/>
    </row>
    <row r="49" spans="1:11" ht="13.5" customHeight="1" x14ac:dyDescent="0.35">
      <c r="A49" s="5" t="s">
        <v>37</v>
      </c>
      <c r="B49" s="5" t="s">
        <v>157</v>
      </c>
      <c r="C49" s="6" t="s">
        <v>158</v>
      </c>
      <c r="D49" s="5" t="s">
        <v>20</v>
      </c>
      <c r="E49" s="5" t="s">
        <v>142</v>
      </c>
      <c r="F49" s="7" t="s">
        <v>28</v>
      </c>
      <c r="G49" s="5" t="s">
        <v>33</v>
      </c>
      <c r="H49" s="5"/>
      <c r="I49" s="5"/>
      <c r="J49" s="5"/>
      <c r="K49" s="5"/>
    </row>
    <row r="50" spans="1:11" ht="13.5" customHeight="1" x14ac:dyDescent="0.35">
      <c r="A50" s="2" t="s">
        <v>40</v>
      </c>
      <c r="B50" s="2" t="s">
        <v>159</v>
      </c>
      <c r="C50" s="3" t="s">
        <v>160</v>
      </c>
      <c r="D50" s="2" t="s">
        <v>26</v>
      </c>
      <c r="E50" s="2" t="s">
        <v>161</v>
      </c>
      <c r="F50" s="4" t="s">
        <v>162</v>
      </c>
      <c r="G50" s="2" t="s">
        <v>149</v>
      </c>
      <c r="H50" s="2"/>
      <c r="I50" s="2"/>
      <c r="J50" s="2"/>
      <c r="K50" s="2"/>
    </row>
    <row r="51" spans="1:11" ht="13.5" customHeight="1" x14ac:dyDescent="0.35">
      <c r="A51" s="5" t="s">
        <v>44</v>
      </c>
      <c r="B51" s="5" t="s">
        <v>163</v>
      </c>
      <c r="C51" s="6" t="s">
        <v>164</v>
      </c>
      <c r="D51" s="5" t="s">
        <v>83</v>
      </c>
      <c r="E51" s="5" t="s">
        <v>165</v>
      </c>
      <c r="F51" s="7" t="s">
        <v>28</v>
      </c>
      <c r="G51" s="5" t="s">
        <v>53</v>
      </c>
      <c r="H51" s="5"/>
      <c r="I51" s="5"/>
      <c r="J51" s="5"/>
      <c r="K51" s="5"/>
    </row>
    <row r="52" spans="1:11" ht="13.5" customHeight="1" x14ac:dyDescent="0.35">
      <c r="A52" s="2" t="s">
        <v>47</v>
      </c>
      <c r="B52" s="2" t="s">
        <v>166</v>
      </c>
      <c r="C52" s="3" t="s">
        <v>167</v>
      </c>
      <c r="D52" s="2" t="s">
        <v>20</v>
      </c>
      <c r="E52" s="2" t="s">
        <v>168</v>
      </c>
      <c r="F52" s="4" t="s">
        <v>28</v>
      </c>
      <c r="G52" s="2" t="s">
        <v>33</v>
      </c>
      <c r="H52" s="2"/>
      <c r="I52" s="2"/>
      <c r="J52" s="2"/>
      <c r="K52" s="2"/>
    </row>
    <row r="53" spans="1:11" ht="13.5" customHeight="1" x14ac:dyDescent="0.35">
      <c r="A53" s="5" t="s">
        <v>50</v>
      </c>
      <c r="B53" s="5" t="s">
        <v>15</v>
      </c>
      <c r="C53" s="6" t="s">
        <v>169</v>
      </c>
      <c r="D53" s="5" t="s">
        <v>20</v>
      </c>
      <c r="E53" s="5" t="s">
        <v>170</v>
      </c>
      <c r="F53" s="7" t="s">
        <v>16</v>
      </c>
      <c r="G53" s="5" t="s">
        <v>33</v>
      </c>
      <c r="H53" s="5"/>
      <c r="I53" s="5"/>
      <c r="J53" s="5"/>
      <c r="K53" s="5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173" zoomScaleNormal="173" workbookViewId="0">
      <selection sqref="A1:E1"/>
    </sheetView>
  </sheetViews>
  <sheetFormatPr defaultColWidth="8.6328125" defaultRowHeight="14.5" x14ac:dyDescent="0.35"/>
  <cols>
    <col min="1" max="1" width="5" customWidth="1"/>
    <col min="2" max="2" width="32" customWidth="1"/>
    <col min="3" max="3" width="22" customWidth="1"/>
    <col min="4" max="4" width="40" customWidth="1"/>
    <col min="5" max="5" width="30" customWidth="1"/>
  </cols>
  <sheetData>
    <row r="1" spans="1:5" ht="21.75" customHeight="1" x14ac:dyDescent="0.35">
      <c r="A1" s="53" t="s">
        <v>171</v>
      </c>
      <c r="B1" s="53"/>
      <c r="C1" s="53"/>
      <c r="D1" s="53"/>
      <c r="E1" s="53"/>
    </row>
    <row r="2" spans="1:5" ht="19.5" customHeight="1" x14ac:dyDescent="0.35">
      <c r="A2" s="9" t="s">
        <v>172</v>
      </c>
      <c r="B2" s="9" t="s">
        <v>173</v>
      </c>
      <c r="C2" s="9" t="s">
        <v>174</v>
      </c>
      <c r="D2" s="9" t="s">
        <v>175</v>
      </c>
      <c r="E2" s="9" t="s">
        <v>176</v>
      </c>
    </row>
    <row r="3" spans="1:5" ht="43.5" customHeight="1" x14ac:dyDescent="0.35">
      <c r="A3" s="10">
        <v>1</v>
      </c>
      <c r="B3" s="11" t="s">
        <v>177</v>
      </c>
      <c r="C3" s="11" t="s">
        <v>178</v>
      </c>
      <c r="D3" s="11" t="s">
        <v>179</v>
      </c>
      <c r="E3" s="11" t="s">
        <v>180</v>
      </c>
    </row>
    <row r="4" spans="1:5" ht="43.5" customHeight="1" x14ac:dyDescent="0.35">
      <c r="A4" s="12">
        <v>2</v>
      </c>
      <c r="B4" s="13" t="s">
        <v>181</v>
      </c>
      <c r="C4" s="13" t="s">
        <v>182</v>
      </c>
      <c r="D4" s="13" t="s">
        <v>183</v>
      </c>
      <c r="E4" s="13" t="s">
        <v>184</v>
      </c>
    </row>
    <row r="5" spans="1:5" ht="43.5" customHeight="1" x14ac:dyDescent="0.35">
      <c r="A5" s="10">
        <v>3</v>
      </c>
      <c r="B5" s="11" t="s">
        <v>185</v>
      </c>
      <c r="C5" s="11" t="s">
        <v>186</v>
      </c>
      <c r="D5" s="11" t="s">
        <v>187</v>
      </c>
      <c r="E5" s="11" t="s">
        <v>188</v>
      </c>
    </row>
    <row r="6" spans="1:5" ht="43.5" customHeight="1" x14ac:dyDescent="0.35">
      <c r="A6" s="12">
        <v>4</v>
      </c>
      <c r="B6" s="13" t="s">
        <v>189</v>
      </c>
      <c r="C6" s="13" t="s">
        <v>190</v>
      </c>
      <c r="D6" s="13" t="s">
        <v>191</v>
      </c>
      <c r="E6" s="13" t="s">
        <v>192</v>
      </c>
    </row>
    <row r="7" spans="1:5" ht="43.5" customHeight="1" x14ac:dyDescent="0.35">
      <c r="A7" s="10">
        <v>5</v>
      </c>
      <c r="B7" s="11" t="s">
        <v>193</v>
      </c>
      <c r="C7" s="11" t="s">
        <v>194</v>
      </c>
      <c r="D7" s="11" t="s">
        <v>195</v>
      </c>
      <c r="E7" s="11" t="s">
        <v>196</v>
      </c>
    </row>
    <row r="8" spans="1:5" ht="43.5" customHeight="1" x14ac:dyDescent="0.35">
      <c r="A8" s="12">
        <v>6</v>
      </c>
      <c r="B8" s="13" t="s">
        <v>197</v>
      </c>
      <c r="C8" s="13" t="s">
        <v>178</v>
      </c>
      <c r="D8" s="13" t="s">
        <v>198</v>
      </c>
      <c r="E8" s="13" t="s">
        <v>199</v>
      </c>
    </row>
    <row r="9" spans="1:5" ht="43.5" customHeight="1" x14ac:dyDescent="0.35">
      <c r="A9" s="10">
        <v>7</v>
      </c>
      <c r="B9" s="11" t="s">
        <v>200</v>
      </c>
      <c r="C9" s="11" t="s">
        <v>201</v>
      </c>
      <c r="D9" s="11" t="s">
        <v>202</v>
      </c>
      <c r="E9" s="11" t="s">
        <v>203</v>
      </c>
    </row>
    <row r="10" spans="1:5" ht="43.5" customHeight="1" x14ac:dyDescent="0.35">
      <c r="A10" s="12">
        <v>8</v>
      </c>
      <c r="B10" s="13" t="s">
        <v>204</v>
      </c>
      <c r="C10" s="13" t="s">
        <v>205</v>
      </c>
      <c r="D10" s="13" t="s">
        <v>206</v>
      </c>
      <c r="E10" s="13" t="s">
        <v>207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5"/>
  <sheetViews>
    <sheetView zoomScale="188" zoomScaleNormal="188" workbookViewId="0">
      <pane ySplit="3" topLeftCell="A4" activePane="bottomLeft" state="frozen"/>
      <selection pane="bottomLeft" sqref="A1:F1"/>
    </sheetView>
  </sheetViews>
  <sheetFormatPr defaultColWidth="8.6328125" defaultRowHeight="14.5" x14ac:dyDescent="0.35"/>
  <cols>
    <col min="1" max="1" width="24" customWidth="1"/>
    <col min="2" max="2" width="16" customWidth="1"/>
    <col min="3" max="3" width="13" customWidth="1"/>
    <col min="4" max="4" width="22" customWidth="1"/>
    <col min="5" max="5" width="18" customWidth="1"/>
    <col min="6" max="6" width="25.453125" customWidth="1"/>
  </cols>
  <sheetData>
    <row r="1" spans="1:6" ht="21.75" customHeight="1" x14ac:dyDescent="0.35">
      <c r="A1" s="54" t="s">
        <v>208</v>
      </c>
      <c r="B1" s="54"/>
      <c r="C1" s="54"/>
      <c r="D1" s="54"/>
      <c r="E1" s="54"/>
      <c r="F1" s="54"/>
    </row>
    <row r="2" spans="1:6" ht="13.5" customHeight="1" x14ac:dyDescent="0.35">
      <c r="A2" s="55" t="s">
        <v>209</v>
      </c>
      <c r="B2" s="55"/>
      <c r="C2" s="55"/>
      <c r="D2" s="55"/>
      <c r="E2" s="55"/>
      <c r="F2" s="55"/>
    </row>
    <row r="3" spans="1:6" ht="19.5" customHeight="1" x14ac:dyDescent="0.35">
      <c r="A3" s="14" t="s">
        <v>3</v>
      </c>
      <c r="B3" s="14" t="s">
        <v>210</v>
      </c>
      <c r="C3" s="14" t="s">
        <v>211</v>
      </c>
      <c r="D3" s="14" t="s">
        <v>178</v>
      </c>
      <c r="E3" s="14" t="s">
        <v>212</v>
      </c>
      <c r="F3" s="14" t="s">
        <v>213</v>
      </c>
    </row>
    <row r="4" spans="1:6" ht="13.5" customHeight="1" x14ac:dyDescent="0.35">
      <c r="A4" s="15" t="s">
        <v>13</v>
      </c>
      <c r="B4" s="16" t="s">
        <v>14</v>
      </c>
      <c r="C4" s="17">
        <v>50</v>
      </c>
      <c r="D4" s="15" t="s">
        <v>214</v>
      </c>
      <c r="E4" s="18">
        <v>1</v>
      </c>
      <c r="F4" s="15" t="s">
        <v>215</v>
      </c>
    </row>
    <row r="5" spans="1:6" ht="13.5" customHeight="1" x14ac:dyDescent="0.35">
      <c r="A5" s="19" t="s">
        <v>19</v>
      </c>
      <c r="B5" s="20" t="s">
        <v>20</v>
      </c>
      <c r="C5" s="21">
        <v>152</v>
      </c>
      <c r="D5" s="19" t="s">
        <v>216</v>
      </c>
      <c r="E5" s="22">
        <v>6</v>
      </c>
      <c r="F5" s="19" t="s">
        <v>217</v>
      </c>
    </row>
    <row r="6" spans="1:6" ht="13.5" customHeight="1" x14ac:dyDescent="0.35">
      <c r="A6" s="23" t="s">
        <v>25</v>
      </c>
      <c r="B6" s="24" t="s">
        <v>26</v>
      </c>
      <c r="C6" s="25">
        <v>215</v>
      </c>
      <c r="D6" s="23" t="s">
        <v>218</v>
      </c>
      <c r="E6" s="26">
        <v>7</v>
      </c>
      <c r="F6" s="23" t="s">
        <v>219</v>
      </c>
    </row>
    <row r="7" spans="1:6" ht="13.5" customHeight="1" x14ac:dyDescent="0.35">
      <c r="A7" s="19" t="s">
        <v>31</v>
      </c>
      <c r="B7" s="20" t="s">
        <v>20</v>
      </c>
      <c r="C7" s="21">
        <v>108</v>
      </c>
      <c r="D7" s="19" t="s">
        <v>214</v>
      </c>
      <c r="E7" s="22">
        <v>1</v>
      </c>
      <c r="F7" s="19" t="s">
        <v>217</v>
      </c>
    </row>
    <row r="8" spans="1:6" ht="13.5" customHeight="1" x14ac:dyDescent="0.35">
      <c r="A8" s="19" t="s">
        <v>35</v>
      </c>
      <c r="B8" s="20" t="s">
        <v>20</v>
      </c>
      <c r="C8" s="21">
        <v>126</v>
      </c>
      <c r="D8" s="19" t="s">
        <v>214</v>
      </c>
      <c r="E8" s="22">
        <v>1</v>
      </c>
      <c r="F8" s="19" t="s">
        <v>217</v>
      </c>
    </row>
    <row r="9" spans="1:6" ht="13.5" customHeight="1" x14ac:dyDescent="0.35">
      <c r="A9" s="19" t="s">
        <v>38</v>
      </c>
      <c r="B9" s="20" t="s">
        <v>20</v>
      </c>
      <c r="C9" s="21">
        <v>110</v>
      </c>
      <c r="D9" s="19" t="s">
        <v>214</v>
      </c>
      <c r="E9" s="22">
        <v>1</v>
      </c>
      <c r="F9" s="19" t="s">
        <v>217</v>
      </c>
    </row>
    <row r="10" spans="1:6" ht="13.5" customHeight="1" x14ac:dyDescent="0.35">
      <c r="A10" s="27" t="s">
        <v>41</v>
      </c>
      <c r="B10" s="28" t="s">
        <v>42</v>
      </c>
      <c r="C10" s="29">
        <v>99</v>
      </c>
      <c r="D10" s="27" t="s">
        <v>214</v>
      </c>
      <c r="E10" s="30">
        <v>1</v>
      </c>
      <c r="F10" s="27" t="s">
        <v>220</v>
      </c>
    </row>
    <row r="11" spans="1:6" ht="13.5" customHeight="1" x14ac:dyDescent="0.35">
      <c r="A11" s="23" t="s">
        <v>45</v>
      </c>
      <c r="B11" s="24" t="s">
        <v>26</v>
      </c>
      <c r="C11" s="25">
        <v>226</v>
      </c>
      <c r="D11" s="23" t="s">
        <v>218</v>
      </c>
      <c r="E11" s="26">
        <v>1</v>
      </c>
      <c r="F11" s="23" t="s">
        <v>219</v>
      </c>
    </row>
    <row r="12" spans="1:6" ht="13.5" customHeight="1" x14ac:dyDescent="0.35">
      <c r="A12" s="19" t="s">
        <v>48</v>
      </c>
      <c r="B12" s="20" t="s">
        <v>20</v>
      </c>
      <c r="C12" s="21">
        <v>136</v>
      </c>
      <c r="D12" s="19" t="s">
        <v>218</v>
      </c>
      <c r="E12" s="22">
        <v>1</v>
      </c>
      <c r="F12" s="19" t="s">
        <v>217</v>
      </c>
    </row>
    <row r="13" spans="1:6" ht="13.5" customHeight="1" x14ac:dyDescent="0.35">
      <c r="A13" s="19" t="s">
        <v>51</v>
      </c>
      <c r="B13" s="20" t="s">
        <v>20</v>
      </c>
      <c r="C13" s="21">
        <v>103</v>
      </c>
      <c r="D13" s="19" t="s">
        <v>214</v>
      </c>
      <c r="E13" s="22">
        <v>2</v>
      </c>
      <c r="F13" s="19" t="s">
        <v>217</v>
      </c>
    </row>
    <row r="14" spans="1:6" ht="13.5" customHeight="1" x14ac:dyDescent="0.35">
      <c r="A14" s="27" t="s">
        <v>55</v>
      </c>
      <c r="B14" s="28" t="s">
        <v>42</v>
      </c>
      <c r="C14" s="29">
        <v>92</v>
      </c>
      <c r="D14" s="27" t="s">
        <v>214</v>
      </c>
      <c r="E14" s="30">
        <v>1</v>
      </c>
      <c r="F14" s="27" t="s">
        <v>220</v>
      </c>
    </row>
    <row r="15" spans="1:6" ht="13.5" customHeight="1" x14ac:dyDescent="0.35">
      <c r="A15" s="27" t="s">
        <v>58</v>
      </c>
      <c r="B15" s="28" t="s">
        <v>42</v>
      </c>
      <c r="C15" s="29">
        <v>99</v>
      </c>
      <c r="D15" s="27" t="s">
        <v>218</v>
      </c>
      <c r="E15" s="30">
        <v>1</v>
      </c>
      <c r="F15" s="27" t="s">
        <v>220</v>
      </c>
    </row>
    <row r="16" spans="1:6" ht="13.5" customHeight="1" x14ac:dyDescent="0.35">
      <c r="A16" s="23" t="s">
        <v>60</v>
      </c>
      <c r="B16" s="24" t="s">
        <v>26</v>
      </c>
      <c r="C16" s="25">
        <v>255</v>
      </c>
      <c r="D16" s="23" t="s">
        <v>218</v>
      </c>
      <c r="E16" s="26">
        <v>1</v>
      </c>
      <c r="F16" s="23" t="s">
        <v>219</v>
      </c>
    </row>
    <row r="17" spans="1:6" ht="13.5" customHeight="1" x14ac:dyDescent="0.35">
      <c r="A17" s="23" t="s">
        <v>63</v>
      </c>
      <c r="B17" s="24" t="s">
        <v>26</v>
      </c>
      <c r="C17" s="25">
        <v>215</v>
      </c>
      <c r="D17" s="23" t="s">
        <v>218</v>
      </c>
      <c r="E17" s="26">
        <v>1</v>
      </c>
      <c r="F17" s="23" t="s">
        <v>219</v>
      </c>
    </row>
    <row r="18" spans="1:6" ht="13.5" customHeight="1" x14ac:dyDescent="0.35">
      <c r="A18" s="23" t="s">
        <v>65</v>
      </c>
      <c r="B18" s="24" t="s">
        <v>26</v>
      </c>
      <c r="C18" s="25">
        <v>237</v>
      </c>
      <c r="D18" s="23" t="s">
        <v>218</v>
      </c>
      <c r="E18" s="26">
        <v>1</v>
      </c>
      <c r="F18" s="23" t="s">
        <v>219</v>
      </c>
    </row>
    <row r="19" spans="1:6" ht="13.5" customHeight="1" x14ac:dyDescent="0.35">
      <c r="A19" s="19" t="s">
        <v>68</v>
      </c>
      <c r="B19" s="20" t="s">
        <v>20</v>
      </c>
      <c r="C19" s="21">
        <v>187</v>
      </c>
      <c r="D19" s="19" t="s">
        <v>218</v>
      </c>
      <c r="E19" s="22">
        <v>1</v>
      </c>
      <c r="F19" s="19" t="s">
        <v>217</v>
      </c>
    </row>
    <row r="20" spans="1:6" ht="13.5" customHeight="1" x14ac:dyDescent="0.35">
      <c r="A20" s="23" t="s">
        <v>71</v>
      </c>
      <c r="B20" s="24" t="s">
        <v>26</v>
      </c>
      <c r="C20" s="25">
        <v>245</v>
      </c>
      <c r="D20" s="23" t="s">
        <v>218</v>
      </c>
      <c r="E20" s="26">
        <v>4</v>
      </c>
      <c r="F20" s="23" t="s">
        <v>219</v>
      </c>
    </row>
    <row r="21" spans="1:6" ht="13.5" customHeight="1" x14ac:dyDescent="0.35">
      <c r="A21" s="19" t="s">
        <v>75</v>
      </c>
      <c r="B21" s="20" t="s">
        <v>20</v>
      </c>
      <c r="C21" s="21">
        <v>157</v>
      </c>
      <c r="D21" s="19" t="s">
        <v>214</v>
      </c>
      <c r="E21" s="22">
        <v>1</v>
      </c>
      <c r="F21" s="19" t="s">
        <v>217</v>
      </c>
    </row>
    <row r="22" spans="1:6" ht="13.5" customHeight="1" x14ac:dyDescent="0.35">
      <c r="A22" s="31" t="s">
        <v>78</v>
      </c>
      <c r="B22" s="28" t="s">
        <v>42</v>
      </c>
      <c r="C22" s="29">
        <v>83</v>
      </c>
      <c r="D22" s="27" t="s">
        <v>218</v>
      </c>
      <c r="E22" s="30">
        <v>1</v>
      </c>
      <c r="F22" s="27" t="s">
        <v>220</v>
      </c>
    </row>
    <row r="23" spans="1:6" ht="13.5" customHeight="1" x14ac:dyDescent="0.35">
      <c r="A23" s="32" t="s">
        <v>82</v>
      </c>
      <c r="B23" s="33" t="s">
        <v>83</v>
      </c>
      <c r="C23" s="34">
        <v>322</v>
      </c>
      <c r="D23" s="32" t="s">
        <v>218</v>
      </c>
      <c r="E23" s="35">
        <v>1</v>
      </c>
      <c r="F23" s="32" t="s">
        <v>221</v>
      </c>
    </row>
    <row r="24" spans="1:6" ht="13.5" customHeight="1" x14ac:dyDescent="0.35">
      <c r="A24" s="19" t="s">
        <v>86</v>
      </c>
      <c r="B24" s="20" t="s">
        <v>20</v>
      </c>
      <c r="C24" s="21">
        <v>142</v>
      </c>
      <c r="D24" s="19" t="s">
        <v>214</v>
      </c>
      <c r="E24" s="22">
        <v>1</v>
      </c>
      <c r="F24" s="19" t="s">
        <v>217</v>
      </c>
    </row>
    <row r="25" spans="1:6" ht="13.5" customHeight="1" x14ac:dyDescent="0.35">
      <c r="A25" s="27" t="s">
        <v>89</v>
      </c>
      <c r="B25" s="28" t="s">
        <v>42</v>
      </c>
      <c r="C25" s="29">
        <v>54</v>
      </c>
      <c r="D25" s="27" t="s">
        <v>214</v>
      </c>
      <c r="E25" s="30">
        <v>1</v>
      </c>
      <c r="F25" s="27" t="s">
        <v>220</v>
      </c>
    </row>
    <row r="26" spans="1:6" ht="13.5" customHeight="1" x14ac:dyDescent="0.35">
      <c r="A26" s="23" t="s">
        <v>92</v>
      </c>
      <c r="B26" s="24" t="s">
        <v>26</v>
      </c>
      <c r="C26" s="25">
        <v>233</v>
      </c>
      <c r="D26" s="23" t="s">
        <v>218</v>
      </c>
      <c r="E26" s="26">
        <v>1</v>
      </c>
      <c r="F26" s="23" t="s">
        <v>219</v>
      </c>
    </row>
    <row r="27" spans="1:6" ht="13.5" customHeight="1" x14ac:dyDescent="0.35">
      <c r="A27" s="23" t="s">
        <v>95</v>
      </c>
      <c r="B27" s="24" t="s">
        <v>26</v>
      </c>
      <c r="C27" s="25">
        <v>224</v>
      </c>
      <c r="D27" s="23" t="s">
        <v>218</v>
      </c>
      <c r="E27" s="26">
        <v>1</v>
      </c>
      <c r="F27" s="23" t="s">
        <v>219</v>
      </c>
    </row>
    <row r="28" spans="1:6" ht="13.5" customHeight="1" x14ac:dyDescent="0.35">
      <c r="A28" s="32" t="s">
        <v>98</v>
      </c>
      <c r="B28" s="33" t="s">
        <v>83</v>
      </c>
      <c r="C28" s="34">
        <v>346</v>
      </c>
      <c r="D28" s="32" t="s">
        <v>218</v>
      </c>
      <c r="E28" s="35">
        <v>1</v>
      </c>
      <c r="F28" s="32" t="s">
        <v>221</v>
      </c>
    </row>
    <row r="29" spans="1:6" ht="13.5" customHeight="1" x14ac:dyDescent="0.35">
      <c r="A29" s="23" t="s">
        <v>101</v>
      </c>
      <c r="B29" s="24" t="s">
        <v>26</v>
      </c>
      <c r="C29" s="25">
        <v>255</v>
      </c>
      <c r="D29" s="23" t="s">
        <v>218</v>
      </c>
      <c r="E29" s="26">
        <v>1</v>
      </c>
      <c r="F29" s="23" t="s">
        <v>219</v>
      </c>
    </row>
    <row r="30" spans="1:6" ht="13.5" customHeight="1" x14ac:dyDescent="0.35">
      <c r="A30" s="19" t="s">
        <v>103</v>
      </c>
      <c r="B30" s="20" t="s">
        <v>20</v>
      </c>
      <c r="C30" s="21">
        <v>125</v>
      </c>
      <c r="D30" s="19" t="s">
        <v>214</v>
      </c>
      <c r="E30" s="22">
        <v>1</v>
      </c>
      <c r="F30" s="19" t="s">
        <v>217</v>
      </c>
    </row>
    <row r="31" spans="1:6" ht="13.5" customHeight="1" x14ac:dyDescent="0.35">
      <c r="A31" s="19" t="s">
        <v>106</v>
      </c>
      <c r="B31" s="20" t="s">
        <v>20</v>
      </c>
      <c r="C31" s="21">
        <v>121</v>
      </c>
      <c r="D31" s="19" t="s">
        <v>214</v>
      </c>
      <c r="E31" s="22">
        <v>1</v>
      </c>
      <c r="F31" s="19" t="s">
        <v>217</v>
      </c>
    </row>
    <row r="32" spans="1:6" ht="13.5" customHeight="1" x14ac:dyDescent="0.35">
      <c r="A32" s="19" t="s">
        <v>109</v>
      </c>
      <c r="B32" s="20" t="s">
        <v>20</v>
      </c>
      <c r="C32" s="21">
        <v>167</v>
      </c>
      <c r="D32" s="19" t="s">
        <v>218</v>
      </c>
      <c r="E32" s="22">
        <v>1</v>
      </c>
      <c r="F32" s="19" t="s">
        <v>217</v>
      </c>
    </row>
    <row r="33" spans="1:6" ht="13.5" customHeight="1" x14ac:dyDescent="0.35">
      <c r="A33" s="19" t="s">
        <v>112</v>
      </c>
      <c r="B33" s="20" t="s">
        <v>20</v>
      </c>
      <c r="C33" s="21">
        <v>109</v>
      </c>
      <c r="D33" s="19" t="s">
        <v>214</v>
      </c>
      <c r="E33" s="22">
        <v>2</v>
      </c>
      <c r="F33" s="19" t="s">
        <v>217</v>
      </c>
    </row>
    <row r="34" spans="1:6" ht="13.5" customHeight="1" x14ac:dyDescent="0.35">
      <c r="A34" s="23" t="s">
        <v>115</v>
      </c>
      <c r="B34" s="24" t="s">
        <v>26</v>
      </c>
      <c r="C34" s="25">
        <v>278</v>
      </c>
      <c r="D34" s="23" t="s">
        <v>218</v>
      </c>
      <c r="E34" s="26">
        <v>1</v>
      </c>
      <c r="F34" s="23" t="s">
        <v>219</v>
      </c>
    </row>
    <row r="35" spans="1:6" ht="13.5" customHeight="1" x14ac:dyDescent="0.35">
      <c r="A35" s="19" t="s">
        <v>118</v>
      </c>
      <c r="B35" s="20" t="s">
        <v>20</v>
      </c>
      <c r="C35" s="21">
        <v>124</v>
      </c>
      <c r="D35" s="19" t="s">
        <v>214</v>
      </c>
      <c r="E35" s="22">
        <v>1</v>
      </c>
      <c r="F35" s="19" t="s">
        <v>217</v>
      </c>
    </row>
    <row r="36" spans="1:6" ht="13.5" customHeight="1" x14ac:dyDescent="0.35">
      <c r="A36" s="19" t="s">
        <v>121</v>
      </c>
      <c r="B36" s="20" t="s">
        <v>20</v>
      </c>
      <c r="C36" s="21">
        <v>152</v>
      </c>
      <c r="D36" s="19" t="s">
        <v>218</v>
      </c>
      <c r="E36" s="22">
        <v>1</v>
      </c>
      <c r="F36" s="19" t="s">
        <v>217</v>
      </c>
    </row>
    <row r="37" spans="1:6" ht="13.5" customHeight="1" x14ac:dyDescent="0.35">
      <c r="A37" s="19" t="s">
        <v>123</v>
      </c>
      <c r="B37" s="20" t="s">
        <v>20</v>
      </c>
      <c r="C37" s="21">
        <v>159</v>
      </c>
      <c r="D37" s="19" t="s">
        <v>218</v>
      </c>
      <c r="E37" s="22">
        <v>1</v>
      </c>
      <c r="F37" s="19" t="s">
        <v>217</v>
      </c>
    </row>
    <row r="38" spans="1:6" ht="13.5" customHeight="1" x14ac:dyDescent="0.35">
      <c r="A38" s="19" t="s">
        <v>126</v>
      </c>
      <c r="B38" s="20" t="s">
        <v>20</v>
      </c>
      <c r="C38" s="21">
        <v>181</v>
      </c>
      <c r="D38" s="19" t="s">
        <v>214</v>
      </c>
      <c r="E38" s="22">
        <v>1</v>
      </c>
      <c r="F38" s="19" t="s">
        <v>217</v>
      </c>
    </row>
    <row r="39" spans="1:6" ht="13.5" customHeight="1" x14ac:dyDescent="0.35">
      <c r="A39" s="19" t="s">
        <v>129</v>
      </c>
      <c r="B39" s="20" t="s">
        <v>20</v>
      </c>
      <c r="C39" s="21">
        <v>128</v>
      </c>
      <c r="D39" s="19" t="s">
        <v>214</v>
      </c>
      <c r="E39" s="22">
        <v>1</v>
      </c>
      <c r="F39" s="19" t="s">
        <v>217</v>
      </c>
    </row>
    <row r="40" spans="1:6" ht="13.5" customHeight="1" x14ac:dyDescent="0.35">
      <c r="A40" s="19" t="s">
        <v>132</v>
      </c>
      <c r="B40" s="20" t="s">
        <v>20</v>
      </c>
      <c r="C40" s="21">
        <v>102</v>
      </c>
      <c r="D40" s="19" t="s">
        <v>214</v>
      </c>
      <c r="E40" s="22">
        <v>1</v>
      </c>
      <c r="F40" s="19" t="s">
        <v>217</v>
      </c>
    </row>
    <row r="41" spans="1:6" ht="13.5" customHeight="1" x14ac:dyDescent="0.35">
      <c r="A41" s="19" t="s">
        <v>135</v>
      </c>
      <c r="B41" s="20" t="s">
        <v>20</v>
      </c>
      <c r="C41" s="21">
        <v>127</v>
      </c>
      <c r="D41" s="19" t="s">
        <v>218</v>
      </c>
      <c r="E41" s="22">
        <v>13</v>
      </c>
      <c r="F41" s="19" t="s">
        <v>217</v>
      </c>
    </row>
    <row r="42" spans="1:6" ht="13.5" customHeight="1" x14ac:dyDescent="0.35">
      <c r="A42" s="27" t="s">
        <v>139</v>
      </c>
      <c r="B42" s="28" t="s">
        <v>42</v>
      </c>
      <c r="C42" s="29">
        <v>99</v>
      </c>
      <c r="D42" s="27" t="s">
        <v>218</v>
      </c>
      <c r="E42" s="30">
        <v>1</v>
      </c>
      <c r="F42" s="27" t="s">
        <v>220</v>
      </c>
    </row>
    <row r="43" spans="1:6" ht="13.5" customHeight="1" x14ac:dyDescent="0.35">
      <c r="A43" s="19" t="s">
        <v>141</v>
      </c>
      <c r="B43" s="20" t="s">
        <v>20</v>
      </c>
      <c r="C43" s="21">
        <v>158</v>
      </c>
      <c r="D43" s="19" t="s">
        <v>216</v>
      </c>
      <c r="E43" s="22">
        <v>2</v>
      </c>
      <c r="F43" s="19" t="s">
        <v>217</v>
      </c>
    </row>
    <row r="44" spans="1:6" ht="13.5" customHeight="1" x14ac:dyDescent="0.35">
      <c r="A44" s="27" t="s">
        <v>144</v>
      </c>
      <c r="B44" s="28" t="s">
        <v>42</v>
      </c>
      <c r="C44" s="29">
        <v>97</v>
      </c>
      <c r="D44" s="27" t="s">
        <v>214</v>
      </c>
      <c r="E44" s="30">
        <v>1</v>
      </c>
      <c r="F44" s="27" t="s">
        <v>220</v>
      </c>
    </row>
    <row r="45" spans="1:6" ht="13.5" customHeight="1" x14ac:dyDescent="0.35">
      <c r="A45" s="27" t="s">
        <v>147</v>
      </c>
      <c r="B45" s="28" t="s">
        <v>42</v>
      </c>
      <c r="C45" s="29">
        <v>93</v>
      </c>
      <c r="D45" s="27" t="s">
        <v>216</v>
      </c>
      <c r="E45" s="30">
        <v>3</v>
      </c>
      <c r="F45" s="27" t="s">
        <v>220</v>
      </c>
    </row>
    <row r="46" spans="1:6" ht="13.5" customHeight="1" x14ac:dyDescent="0.35">
      <c r="A46" s="23" t="s">
        <v>151</v>
      </c>
      <c r="B46" s="24" t="s">
        <v>26</v>
      </c>
      <c r="C46" s="25">
        <v>226</v>
      </c>
      <c r="D46" s="23" t="s">
        <v>218</v>
      </c>
      <c r="E46" s="26">
        <v>1</v>
      </c>
      <c r="F46" s="23" t="s">
        <v>219</v>
      </c>
    </row>
    <row r="47" spans="1:6" ht="13.5" customHeight="1" x14ac:dyDescent="0.35">
      <c r="A47" s="32" t="s">
        <v>153</v>
      </c>
      <c r="B47" s="33" t="s">
        <v>83</v>
      </c>
      <c r="C47" s="34">
        <v>350</v>
      </c>
      <c r="D47" s="32" t="s">
        <v>218</v>
      </c>
      <c r="E47" s="35">
        <v>2</v>
      </c>
      <c r="F47" s="32" t="s">
        <v>221</v>
      </c>
    </row>
    <row r="48" spans="1:6" ht="13.5" customHeight="1" x14ac:dyDescent="0.35">
      <c r="A48" s="19" t="s">
        <v>156</v>
      </c>
      <c r="B48" s="20" t="s">
        <v>20</v>
      </c>
      <c r="C48" s="21">
        <v>157</v>
      </c>
      <c r="D48" s="19" t="s">
        <v>218</v>
      </c>
      <c r="E48" s="22">
        <v>1</v>
      </c>
      <c r="F48" s="19" t="s">
        <v>217</v>
      </c>
    </row>
    <row r="49" spans="1:6" ht="13.5" customHeight="1" x14ac:dyDescent="0.35">
      <c r="A49" s="19" t="s">
        <v>158</v>
      </c>
      <c r="B49" s="20" t="s">
        <v>20</v>
      </c>
      <c r="C49" s="21">
        <v>158</v>
      </c>
      <c r="D49" s="19" t="s">
        <v>218</v>
      </c>
      <c r="E49" s="22">
        <v>1</v>
      </c>
      <c r="F49" s="19" t="s">
        <v>217</v>
      </c>
    </row>
    <row r="50" spans="1:6" ht="13.5" customHeight="1" x14ac:dyDescent="0.35">
      <c r="A50" s="23" t="s">
        <v>160</v>
      </c>
      <c r="B50" s="24" t="s">
        <v>26</v>
      </c>
      <c r="C50" s="25">
        <v>231</v>
      </c>
      <c r="D50" s="23" t="s">
        <v>222</v>
      </c>
      <c r="E50" s="26">
        <v>3</v>
      </c>
      <c r="F50" s="23" t="s">
        <v>219</v>
      </c>
    </row>
    <row r="51" spans="1:6" ht="13.5" customHeight="1" x14ac:dyDescent="0.35">
      <c r="A51" s="32" t="s">
        <v>164</v>
      </c>
      <c r="B51" s="33" t="s">
        <v>83</v>
      </c>
      <c r="C51" s="34">
        <v>304</v>
      </c>
      <c r="D51" s="32" t="s">
        <v>218</v>
      </c>
      <c r="E51" s="35">
        <v>2</v>
      </c>
      <c r="F51" s="32" t="s">
        <v>221</v>
      </c>
    </row>
    <row r="52" spans="1:6" ht="13.5" customHeight="1" x14ac:dyDescent="0.35">
      <c r="A52" s="19" t="s">
        <v>167</v>
      </c>
      <c r="B52" s="20" t="s">
        <v>20</v>
      </c>
      <c r="C52" s="21">
        <v>144</v>
      </c>
      <c r="D52" s="19" t="s">
        <v>218</v>
      </c>
      <c r="E52" s="22">
        <v>1</v>
      </c>
      <c r="F52" s="19" t="s">
        <v>217</v>
      </c>
    </row>
    <row r="53" spans="1:6" ht="13.5" customHeight="1" x14ac:dyDescent="0.35">
      <c r="A53" s="19" t="s">
        <v>169</v>
      </c>
      <c r="B53" s="20" t="s">
        <v>20</v>
      </c>
      <c r="C53" s="21">
        <v>191</v>
      </c>
      <c r="D53" s="19" t="s">
        <v>214</v>
      </c>
      <c r="E53" s="22">
        <v>1</v>
      </c>
      <c r="F53" s="19" t="s">
        <v>217</v>
      </c>
    </row>
    <row r="54" spans="1:6" ht="13.5" customHeight="1" x14ac:dyDescent="0.35">
      <c r="A54" s="19" t="s">
        <v>223</v>
      </c>
      <c r="B54" s="20" t="s">
        <v>20</v>
      </c>
      <c r="C54" s="21">
        <v>101</v>
      </c>
      <c r="D54" s="19" t="s">
        <v>214</v>
      </c>
      <c r="E54" s="22">
        <v>1</v>
      </c>
      <c r="F54" s="19" t="s">
        <v>217</v>
      </c>
    </row>
    <row r="55" spans="1:6" ht="13.5" customHeight="1" x14ac:dyDescent="0.35">
      <c r="A55" s="19" t="s">
        <v>224</v>
      </c>
      <c r="B55" s="20" t="s">
        <v>20</v>
      </c>
      <c r="C55" s="21">
        <v>132</v>
      </c>
      <c r="D55" s="19" t="s">
        <v>214</v>
      </c>
      <c r="E55" s="22">
        <v>1</v>
      </c>
      <c r="F55" s="19" t="s">
        <v>217</v>
      </c>
    </row>
    <row r="56" spans="1:6" ht="13.5" customHeight="1" x14ac:dyDescent="0.35">
      <c r="A56" s="19" t="s">
        <v>225</v>
      </c>
      <c r="B56" s="20" t="s">
        <v>20</v>
      </c>
      <c r="C56" s="21">
        <v>112</v>
      </c>
      <c r="D56" s="19" t="s">
        <v>214</v>
      </c>
      <c r="E56" s="22">
        <v>1</v>
      </c>
      <c r="F56" s="19" t="s">
        <v>217</v>
      </c>
    </row>
    <row r="57" spans="1:6" ht="13.5" customHeight="1" x14ac:dyDescent="0.35">
      <c r="A57" s="19" t="s">
        <v>226</v>
      </c>
      <c r="B57" s="20" t="s">
        <v>20</v>
      </c>
      <c r="C57" s="21">
        <v>136</v>
      </c>
      <c r="D57" s="19" t="s">
        <v>214</v>
      </c>
      <c r="E57" s="22">
        <v>1</v>
      </c>
      <c r="F57" s="19" t="s">
        <v>217</v>
      </c>
    </row>
    <row r="58" spans="1:6" ht="13.5" customHeight="1" x14ac:dyDescent="0.35">
      <c r="A58" s="23" t="s">
        <v>227</v>
      </c>
      <c r="B58" s="24" t="s">
        <v>26</v>
      </c>
      <c r="C58" s="25">
        <v>232</v>
      </c>
      <c r="D58" s="23" t="s">
        <v>218</v>
      </c>
      <c r="E58" s="26">
        <v>1</v>
      </c>
      <c r="F58" s="23" t="s">
        <v>219</v>
      </c>
    </row>
    <row r="59" spans="1:6" ht="13.5" customHeight="1" x14ac:dyDescent="0.35">
      <c r="A59" s="23" t="s">
        <v>228</v>
      </c>
      <c r="B59" s="24" t="s">
        <v>26</v>
      </c>
      <c r="C59" s="25">
        <v>234</v>
      </c>
      <c r="D59" s="23" t="s">
        <v>218</v>
      </c>
      <c r="E59" s="26">
        <v>1</v>
      </c>
      <c r="F59" s="23" t="s">
        <v>219</v>
      </c>
    </row>
    <row r="60" spans="1:6" ht="13.5" customHeight="1" x14ac:dyDescent="0.35">
      <c r="A60" s="32" t="s">
        <v>229</v>
      </c>
      <c r="B60" s="33" t="s">
        <v>83</v>
      </c>
      <c r="C60" s="34">
        <v>353</v>
      </c>
      <c r="D60" s="32" t="s">
        <v>218</v>
      </c>
      <c r="E60" s="35">
        <v>1</v>
      </c>
      <c r="F60" s="32" t="s">
        <v>221</v>
      </c>
    </row>
    <row r="61" spans="1:6" ht="13.5" customHeight="1" x14ac:dyDescent="0.35">
      <c r="A61" s="19" t="s">
        <v>230</v>
      </c>
      <c r="B61" s="20" t="s">
        <v>20</v>
      </c>
      <c r="C61" s="21">
        <v>134</v>
      </c>
      <c r="D61" s="19" t="s">
        <v>218</v>
      </c>
      <c r="E61" s="22">
        <v>1</v>
      </c>
      <c r="F61" s="19" t="s">
        <v>217</v>
      </c>
    </row>
    <row r="62" spans="1:6" ht="13.5" customHeight="1" x14ac:dyDescent="0.35">
      <c r="A62" s="15" t="s">
        <v>231</v>
      </c>
      <c r="B62" s="16" t="s">
        <v>14</v>
      </c>
      <c r="C62" s="17">
        <v>43</v>
      </c>
      <c r="D62" s="15" t="s">
        <v>214</v>
      </c>
      <c r="E62" s="18">
        <v>1</v>
      </c>
      <c r="F62" s="15" t="s">
        <v>215</v>
      </c>
    </row>
    <row r="63" spans="1:6" ht="13.5" customHeight="1" x14ac:dyDescent="0.35">
      <c r="A63" s="23" t="s">
        <v>232</v>
      </c>
      <c r="B63" s="24" t="s">
        <v>26</v>
      </c>
      <c r="C63" s="25">
        <v>274</v>
      </c>
      <c r="D63" s="23" t="s">
        <v>218</v>
      </c>
      <c r="E63" s="26">
        <v>3</v>
      </c>
      <c r="F63" s="23" t="s">
        <v>219</v>
      </c>
    </row>
    <row r="64" spans="1:6" ht="13.5" customHeight="1" x14ac:dyDescent="0.35">
      <c r="A64" s="19" t="s">
        <v>233</v>
      </c>
      <c r="B64" s="20" t="s">
        <v>20</v>
      </c>
      <c r="C64" s="21">
        <v>134</v>
      </c>
      <c r="D64" s="19" t="s">
        <v>214</v>
      </c>
      <c r="E64" s="22">
        <v>2</v>
      </c>
      <c r="F64" s="19" t="s">
        <v>217</v>
      </c>
    </row>
    <row r="65" spans="1:6" ht="13.5" customHeight="1" x14ac:dyDescent="0.35">
      <c r="A65" s="23" t="s">
        <v>234</v>
      </c>
      <c r="B65" s="24" t="s">
        <v>26</v>
      </c>
      <c r="C65" s="25">
        <v>262</v>
      </c>
      <c r="D65" s="23" t="s">
        <v>218</v>
      </c>
      <c r="E65" s="26">
        <v>1</v>
      </c>
      <c r="F65" s="23" t="s">
        <v>219</v>
      </c>
    </row>
    <row r="66" spans="1:6" ht="13.5" customHeight="1" x14ac:dyDescent="0.35">
      <c r="A66" s="19" t="s">
        <v>235</v>
      </c>
      <c r="B66" s="20" t="s">
        <v>20</v>
      </c>
      <c r="C66" s="21">
        <v>168</v>
      </c>
      <c r="D66" s="19" t="s">
        <v>218</v>
      </c>
      <c r="E66" s="22">
        <v>8</v>
      </c>
      <c r="F66" s="19" t="s">
        <v>217</v>
      </c>
    </row>
    <row r="67" spans="1:6" ht="13.5" customHeight="1" x14ac:dyDescent="0.35">
      <c r="A67" s="27" t="s">
        <v>236</v>
      </c>
      <c r="B67" s="28" t="s">
        <v>42</v>
      </c>
      <c r="C67" s="29">
        <v>75</v>
      </c>
      <c r="D67" s="27" t="s">
        <v>237</v>
      </c>
      <c r="E67" s="30">
        <v>1</v>
      </c>
      <c r="F67" s="27" t="s">
        <v>220</v>
      </c>
    </row>
    <row r="68" spans="1:6" ht="13.5" customHeight="1" x14ac:dyDescent="0.35">
      <c r="A68" s="19" t="s">
        <v>238</v>
      </c>
      <c r="B68" s="20" t="s">
        <v>20</v>
      </c>
      <c r="C68" s="21">
        <v>155</v>
      </c>
      <c r="D68" s="19" t="s">
        <v>214</v>
      </c>
      <c r="E68" s="22">
        <v>1</v>
      </c>
      <c r="F68" s="19" t="s">
        <v>217</v>
      </c>
    </row>
    <row r="69" spans="1:6" ht="13.5" customHeight="1" x14ac:dyDescent="0.35">
      <c r="A69" s="27" t="s">
        <v>239</v>
      </c>
      <c r="B69" s="28" t="s">
        <v>42</v>
      </c>
      <c r="C69" s="29">
        <v>56</v>
      </c>
      <c r="D69" s="27" t="s">
        <v>214</v>
      </c>
      <c r="E69" s="30">
        <v>1</v>
      </c>
      <c r="F69" s="27" t="s">
        <v>220</v>
      </c>
    </row>
    <row r="70" spans="1:6" ht="13.5" customHeight="1" x14ac:dyDescent="0.35">
      <c r="A70" s="19" t="s">
        <v>240</v>
      </c>
      <c r="B70" s="20" t="s">
        <v>20</v>
      </c>
      <c r="C70" s="21">
        <v>139</v>
      </c>
      <c r="D70" s="19" t="s">
        <v>218</v>
      </c>
      <c r="E70" s="22">
        <v>1</v>
      </c>
      <c r="F70" s="19" t="s">
        <v>217</v>
      </c>
    </row>
    <row r="71" spans="1:6" ht="13.5" customHeight="1" x14ac:dyDescent="0.35">
      <c r="A71" s="19" t="s">
        <v>241</v>
      </c>
      <c r="B71" s="20" t="s">
        <v>20</v>
      </c>
      <c r="C71" s="21">
        <v>194</v>
      </c>
      <c r="D71" s="19" t="s">
        <v>218</v>
      </c>
      <c r="E71" s="22">
        <v>1</v>
      </c>
      <c r="F71" s="19" t="s">
        <v>217</v>
      </c>
    </row>
    <row r="72" spans="1:6" ht="13.5" customHeight="1" x14ac:dyDescent="0.35">
      <c r="A72" s="23" t="s">
        <v>242</v>
      </c>
      <c r="B72" s="24" t="s">
        <v>26</v>
      </c>
      <c r="C72" s="25">
        <v>204</v>
      </c>
      <c r="D72" s="23" t="s">
        <v>218</v>
      </c>
      <c r="E72" s="26">
        <v>1</v>
      </c>
      <c r="F72" s="23" t="s">
        <v>219</v>
      </c>
    </row>
    <row r="73" spans="1:6" ht="13.5" customHeight="1" x14ac:dyDescent="0.35">
      <c r="A73" s="19" t="s">
        <v>243</v>
      </c>
      <c r="B73" s="20" t="s">
        <v>20</v>
      </c>
      <c r="C73" s="21">
        <v>192</v>
      </c>
      <c r="D73" s="19" t="s">
        <v>218</v>
      </c>
      <c r="E73" s="22">
        <v>2</v>
      </c>
      <c r="F73" s="19" t="s">
        <v>217</v>
      </c>
    </row>
    <row r="74" spans="1:6" ht="13.5" customHeight="1" x14ac:dyDescent="0.35">
      <c r="A74" s="19" t="s">
        <v>244</v>
      </c>
      <c r="B74" s="20" t="s">
        <v>20</v>
      </c>
      <c r="C74" s="21">
        <v>198</v>
      </c>
      <c r="D74" s="19" t="s">
        <v>218</v>
      </c>
      <c r="E74" s="22">
        <v>2</v>
      </c>
      <c r="F74" s="19" t="s">
        <v>217</v>
      </c>
    </row>
    <row r="75" spans="1:6" ht="13.5" customHeight="1" x14ac:dyDescent="0.35">
      <c r="A75" s="32" t="s">
        <v>245</v>
      </c>
      <c r="B75" s="33" t="s">
        <v>83</v>
      </c>
      <c r="C75" s="34">
        <v>318</v>
      </c>
      <c r="D75" s="32" t="s">
        <v>218</v>
      </c>
      <c r="E75" s="35">
        <v>1</v>
      </c>
      <c r="F75" s="32" t="s">
        <v>221</v>
      </c>
    </row>
    <row r="76" spans="1:6" ht="13.5" customHeight="1" x14ac:dyDescent="0.35">
      <c r="A76" s="15" t="s">
        <v>246</v>
      </c>
      <c r="B76" s="16" t="s">
        <v>14</v>
      </c>
      <c r="C76" s="17">
        <v>36</v>
      </c>
      <c r="D76" s="15" t="s">
        <v>214</v>
      </c>
      <c r="E76" s="18">
        <v>1</v>
      </c>
      <c r="F76" s="15" t="s">
        <v>215</v>
      </c>
    </row>
    <row r="77" spans="1:6" ht="13.5" customHeight="1" x14ac:dyDescent="0.35">
      <c r="A77" s="19" t="s">
        <v>247</v>
      </c>
      <c r="B77" s="20" t="s">
        <v>20</v>
      </c>
      <c r="C77" s="21">
        <v>127</v>
      </c>
      <c r="D77" s="19" t="s">
        <v>218</v>
      </c>
      <c r="E77" s="22">
        <v>1</v>
      </c>
      <c r="F77" s="19" t="s">
        <v>217</v>
      </c>
    </row>
    <row r="78" spans="1:6" ht="13.5" customHeight="1" x14ac:dyDescent="0.35">
      <c r="A78" s="32" t="s">
        <v>248</v>
      </c>
      <c r="B78" s="33" t="s">
        <v>83</v>
      </c>
      <c r="C78" s="34">
        <v>329</v>
      </c>
      <c r="D78" s="32" t="s">
        <v>218</v>
      </c>
      <c r="E78" s="35">
        <v>1</v>
      </c>
      <c r="F78" s="32" t="s">
        <v>221</v>
      </c>
    </row>
    <row r="79" spans="1:6" ht="13.5" customHeight="1" x14ac:dyDescent="0.35">
      <c r="A79" s="32" t="s">
        <v>249</v>
      </c>
      <c r="B79" s="33" t="s">
        <v>83</v>
      </c>
      <c r="C79" s="34">
        <v>373</v>
      </c>
      <c r="D79" s="32" t="s">
        <v>218</v>
      </c>
      <c r="E79" s="35">
        <v>38</v>
      </c>
      <c r="F79" s="32" t="s">
        <v>221</v>
      </c>
    </row>
    <row r="80" spans="1:6" ht="13.5" customHeight="1" x14ac:dyDescent="0.35">
      <c r="A80" s="19" t="s">
        <v>250</v>
      </c>
      <c r="B80" s="20" t="s">
        <v>20</v>
      </c>
      <c r="C80" s="21">
        <v>167</v>
      </c>
      <c r="D80" s="19" t="s">
        <v>218</v>
      </c>
      <c r="E80" s="22">
        <v>1</v>
      </c>
      <c r="F80" s="19" t="s">
        <v>217</v>
      </c>
    </row>
    <row r="81" spans="1:6" ht="13.5" customHeight="1" x14ac:dyDescent="0.35">
      <c r="A81" s="23" t="s">
        <v>251</v>
      </c>
      <c r="B81" s="24" t="s">
        <v>26</v>
      </c>
      <c r="C81" s="25">
        <v>258</v>
      </c>
      <c r="D81" s="23" t="s">
        <v>218</v>
      </c>
      <c r="E81" s="26">
        <v>1</v>
      </c>
      <c r="F81" s="23" t="s">
        <v>219</v>
      </c>
    </row>
    <row r="82" spans="1:6" ht="13.5" customHeight="1" x14ac:dyDescent="0.35">
      <c r="A82" s="32" t="s">
        <v>252</v>
      </c>
      <c r="B82" s="33" t="s">
        <v>83</v>
      </c>
      <c r="C82" s="34">
        <v>367</v>
      </c>
      <c r="D82" s="32" t="s">
        <v>218</v>
      </c>
      <c r="E82" s="35">
        <v>1</v>
      </c>
      <c r="F82" s="32" t="s">
        <v>221</v>
      </c>
    </row>
    <row r="83" spans="1:6" ht="13.5" customHeight="1" x14ac:dyDescent="0.35">
      <c r="A83" s="19" t="s">
        <v>253</v>
      </c>
      <c r="B83" s="20" t="s">
        <v>20</v>
      </c>
      <c r="C83" s="21">
        <v>123</v>
      </c>
      <c r="D83" s="19" t="s">
        <v>214</v>
      </c>
      <c r="E83" s="22">
        <v>1</v>
      </c>
      <c r="F83" s="19" t="s">
        <v>217</v>
      </c>
    </row>
    <row r="84" spans="1:6" ht="13.5" customHeight="1" x14ac:dyDescent="0.35">
      <c r="A84" s="27" t="s">
        <v>254</v>
      </c>
      <c r="B84" s="28" t="s">
        <v>42</v>
      </c>
      <c r="C84" s="29">
        <v>93</v>
      </c>
      <c r="D84" s="27" t="s">
        <v>218</v>
      </c>
      <c r="E84" s="30">
        <v>1</v>
      </c>
      <c r="F84" s="27" t="s">
        <v>220</v>
      </c>
    </row>
    <row r="85" spans="1:6" ht="13.5" customHeight="1" x14ac:dyDescent="0.35">
      <c r="A85" s="19" t="s">
        <v>255</v>
      </c>
      <c r="B85" s="20" t="s">
        <v>20</v>
      </c>
      <c r="C85" s="21">
        <v>145</v>
      </c>
      <c r="D85" s="19" t="s">
        <v>218</v>
      </c>
      <c r="E85" s="22">
        <v>1</v>
      </c>
      <c r="F85" s="19" t="s">
        <v>217</v>
      </c>
    </row>
    <row r="86" spans="1:6" ht="13.5" customHeight="1" x14ac:dyDescent="0.35">
      <c r="A86" s="19" t="s">
        <v>256</v>
      </c>
      <c r="B86" s="20" t="s">
        <v>20</v>
      </c>
      <c r="C86" s="21">
        <v>169</v>
      </c>
      <c r="D86" s="19" t="s">
        <v>218</v>
      </c>
      <c r="E86" s="22">
        <v>1</v>
      </c>
      <c r="F86" s="19" t="s">
        <v>217</v>
      </c>
    </row>
    <row r="87" spans="1:6" ht="13.5" customHeight="1" x14ac:dyDescent="0.35">
      <c r="A87" s="19" t="s">
        <v>257</v>
      </c>
      <c r="B87" s="20" t="s">
        <v>20</v>
      </c>
      <c r="C87" s="21">
        <v>148</v>
      </c>
      <c r="D87" s="19" t="s">
        <v>216</v>
      </c>
      <c r="E87" s="22">
        <v>3</v>
      </c>
      <c r="F87" s="19" t="s">
        <v>217</v>
      </c>
    </row>
    <row r="88" spans="1:6" ht="13.5" customHeight="1" x14ac:dyDescent="0.35">
      <c r="A88" s="19" t="s">
        <v>258</v>
      </c>
      <c r="B88" s="20" t="s">
        <v>20</v>
      </c>
      <c r="C88" s="21">
        <v>145</v>
      </c>
      <c r="D88" s="19" t="s">
        <v>218</v>
      </c>
      <c r="E88" s="22">
        <v>1</v>
      </c>
      <c r="F88" s="19" t="s">
        <v>217</v>
      </c>
    </row>
    <row r="89" spans="1:6" ht="13.5" customHeight="1" x14ac:dyDescent="0.35">
      <c r="A89" s="23" t="s">
        <v>259</v>
      </c>
      <c r="B89" s="24" t="s">
        <v>26</v>
      </c>
      <c r="C89" s="25">
        <v>221</v>
      </c>
      <c r="D89" s="23" t="s">
        <v>218</v>
      </c>
      <c r="E89" s="26">
        <v>3</v>
      </c>
      <c r="F89" s="23" t="s">
        <v>219</v>
      </c>
    </row>
    <row r="90" spans="1:6" ht="13.5" customHeight="1" x14ac:dyDescent="0.35">
      <c r="A90" s="19" t="s">
        <v>260</v>
      </c>
      <c r="B90" s="20" t="s">
        <v>20</v>
      </c>
      <c r="C90" s="21">
        <v>133</v>
      </c>
      <c r="D90" s="19" t="s">
        <v>214</v>
      </c>
      <c r="E90" s="22">
        <v>1</v>
      </c>
      <c r="F90" s="19" t="s">
        <v>217</v>
      </c>
    </row>
    <row r="91" spans="1:6" ht="13.5" customHeight="1" x14ac:dyDescent="0.35">
      <c r="A91" s="27" t="s">
        <v>261</v>
      </c>
      <c r="B91" s="28" t="s">
        <v>42</v>
      </c>
      <c r="C91" s="29">
        <v>78</v>
      </c>
      <c r="D91" s="27" t="s">
        <v>216</v>
      </c>
      <c r="E91" s="30">
        <v>2</v>
      </c>
      <c r="F91" s="27" t="s">
        <v>220</v>
      </c>
    </row>
    <row r="92" spans="1:6" ht="13.5" customHeight="1" x14ac:dyDescent="0.35">
      <c r="A92" s="19" t="s">
        <v>262</v>
      </c>
      <c r="B92" s="20" t="s">
        <v>20</v>
      </c>
      <c r="C92" s="21">
        <v>171</v>
      </c>
      <c r="D92" s="19" t="s">
        <v>216</v>
      </c>
      <c r="E92" s="22">
        <v>3</v>
      </c>
      <c r="F92" s="19" t="s">
        <v>217</v>
      </c>
    </row>
    <row r="93" spans="1:6" ht="13.5" customHeight="1" x14ac:dyDescent="0.35">
      <c r="A93" s="19" t="s">
        <v>263</v>
      </c>
      <c r="B93" s="20" t="s">
        <v>20</v>
      </c>
      <c r="C93" s="21">
        <v>148</v>
      </c>
      <c r="D93" s="19" t="s">
        <v>216</v>
      </c>
      <c r="E93" s="22">
        <v>2</v>
      </c>
      <c r="F93" s="19" t="s">
        <v>217</v>
      </c>
    </row>
    <row r="94" spans="1:6" ht="13.5" customHeight="1" x14ac:dyDescent="0.35">
      <c r="A94" s="32" t="s">
        <v>264</v>
      </c>
      <c r="B94" s="33" t="s">
        <v>83</v>
      </c>
      <c r="C94" s="34">
        <v>312</v>
      </c>
      <c r="D94" s="32" t="s">
        <v>216</v>
      </c>
      <c r="E94" s="35">
        <v>4</v>
      </c>
      <c r="F94" s="32" t="s">
        <v>221</v>
      </c>
    </row>
    <row r="95" spans="1:6" ht="13.5" customHeight="1" x14ac:dyDescent="0.35">
      <c r="A95" s="27" t="s">
        <v>265</v>
      </c>
      <c r="B95" s="28" t="s">
        <v>42</v>
      </c>
      <c r="C95" s="29">
        <v>72</v>
      </c>
      <c r="D95" s="27" t="s">
        <v>214</v>
      </c>
      <c r="E95" s="30">
        <v>1</v>
      </c>
      <c r="F95" s="27" t="s">
        <v>220</v>
      </c>
    </row>
    <row r="96" spans="1:6" ht="13.5" customHeight="1" x14ac:dyDescent="0.35">
      <c r="A96" s="32" t="s">
        <v>266</v>
      </c>
      <c r="B96" s="33" t="s">
        <v>83</v>
      </c>
      <c r="C96" s="34">
        <v>366</v>
      </c>
      <c r="D96" s="32" t="s">
        <v>218</v>
      </c>
      <c r="E96" s="35">
        <v>2</v>
      </c>
      <c r="F96" s="32" t="s">
        <v>221</v>
      </c>
    </row>
    <row r="97" spans="1:6" ht="13.5" customHeight="1" x14ac:dyDescent="0.35">
      <c r="A97" s="32" t="s">
        <v>267</v>
      </c>
      <c r="B97" s="33" t="s">
        <v>83</v>
      </c>
      <c r="C97" s="34">
        <v>340</v>
      </c>
      <c r="D97" s="32" t="s">
        <v>218</v>
      </c>
      <c r="E97" s="35">
        <v>1</v>
      </c>
      <c r="F97" s="32" t="s">
        <v>221</v>
      </c>
    </row>
    <row r="98" spans="1:6" ht="13.5" customHeight="1" x14ac:dyDescent="0.35">
      <c r="A98" s="32" t="s">
        <v>268</v>
      </c>
      <c r="B98" s="33" t="s">
        <v>83</v>
      </c>
      <c r="C98" s="34">
        <v>328</v>
      </c>
      <c r="D98" s="32" t="s">
        <v>218</v>
      </c>
      <c r="E98" s="35">
        <v>3</v>
      </c>
      <c r="F98" s="32" t="s">
        <v>221</v>
      </c>
    </row>
    <row r="99" spans="1:6" ht="13.5" customHeight="1" x14ac:dyDescent="0.35">
      <c r="A99" s="27" t="s">
        <v>269</v>
      </c>
      <c r="B99" s="28" t="s">
        <v>42</v>
      </c>
      <c r="C99" s="29">
        <v>56</v>
      </c>
      <c r="D99" s="27" t="s">
        <v>270</v>
      </c>
      <c r="E99" s="30">
        <v>3</v>
      </c>
      <c r="F99" s="27" t="s">
        <v>220</v>
      </c>
    </row>
    <row r="100" spans="1:6" ht="13.5" customHeight="1" x14ac:dyDescent="0.35">
      <c r="A100" s="19" t="s">
        <v>271</v>
      </c>
      <c r="B100" s="20" t="s">
        <v>20</v>
      </c>
      <c r="C100" s="21">
        <v>191</v>
      </c>
      <c r="D100" s="19" t="s">
        <v>218</v>
      </c>
      <c r="E100" s="22">
        <v>3</v>
      </c>
      <c r="F100" s="19" t="s">
        <v>217</v>
      </c>
    </row>
    <row r="101" spans="1:6" ht="13.5" customHeight="1" x14ac:dyDescent="0.35">
      <c r="A101" s="23" t="s">
        <v>272</v>
      </c>
      <c r="B101" s="24" t="s">
        <v>26</v>
      </c>
      <c r="C101" s="25">
        <v>276</v>
      </c>
      <c r="D101" s="23" t="s">
        <v>218</v>
      </c>
      <c r="E101" s="26">
        <v>1</v>
      </c>
      <c r="F101" s="23" t="s">
        <v>219</v>
      </c>
    </row>
    <row r="102" spans="1:6" ht="13.5" customHeight="1" x14ac:dyDescent="0.35">
      <c r="A102" s="19" t="s">
        <v>273</v>
      </c>
      <c r="B102" s="20" t="s">
        <v>20</v>
      </c>
      <c r="C102" s="21">
        <v>163</v>
      </c>
      <c r="D102" s="19" t="s">
        <v>218</v>
      </c>
      <c r="E102" s="22">
        <v>1</v>
      </c>
      <c r="F102" s="19" t="s">
        <v>217</v>
      </c>
    </row>
    <row r="103" spans="1:6" ht="13.5" customHeight="1" x14ac:dyDescent="0.35">
      <c r="A103" s="19" t="s">
        <v>274</v>
      </c>
      <c r="B103" s="20" t="s">
        <v>20</v>
      </c>
      <c r="C103" s="21">
        <v>152</v>
      </c>
      <c r="D103" s="19" t="s">
        <v>214</v>
      </c>
      <c r="E103" s="22">
        <v>1</v>
      </c>
      <c r="F103" s="19" t="s">
        <v>217</v>
      </c>
    </row>
    <row r="104" spans="1:6" ht="13.5" customHeight="1" x14ac:dyDescent="0.35">
      <c r="A104" s="23" t="s">
        <v>275</v>
      </c>
      <c r="B104" s="24" t="s">
        <v>26</v>
      </c>
      <c r="C104" s="25">
        <v>257</v>
      </c>
      <c r="D104" s="23" t="s">
        <v>218</v>
      </c>
      <c r="E104" s="26">
        <v>1</v>
      </c>
      <c r="F104" s="23" t="s">
        <v>219</v>
      </c>
    </row>
    <row r="105" spans="1:6" ht="13.5" customHeight="1" x14ac:dyDescent="0.35">
      <c r="A105" s="27" t="s">
        <v>276</v>
      </c>
      <c r="B105" s="28" t="s">
        <v>42</v>
      </c>
      <c r="C105" s="29">
        <v>68</v>
      </c>
      <c r="D105" s="27" t="s">
        <v>218</v>
      </c>
      <c r="E105" s="30">
        <v>1</v>
      </c>
      <c r="F105" s="27" t="s">
        <v>220</v>
      </c>
    </row>
    <row r="106" spans="1:6" ht="13.5" customHeight="1" x14ac:dyDescent="0.35">
      <c r="A106" s="19" t="s">
        <v>277</v>
      </c>
      <c r="B106" s="20" t="s">
        <v>20</v>
      </c>
      <c r="C106" s="21">
        <v>142</v>
      </c>
      <c r="D106" s="19" t="s">
        <v>216</v>
      </c>
      <c r="E106" s="22">
        <v>5</v>
      </c>
      <c r="F106" s="19" t="s">
        <v>217</v>
      </c>
    </row>
    <row r="107" spans="1:6" ht="13.5" customHeight="1" x14ac:dyDescent="0.35">
      <c r="A107" s="27" t="s">
        <v>278</v>
      </c>
      <c r="B107" s="28" t="s">
        <v>42</v>
      </c>
      <c r="C107" s="29">
        <v>63</v>
      </c>
      <c r="D107" s="27" t="s">
        <v>214</v>
      </c>
      <c r="E107" s="30">
        <v>1</v>
      </c>
      <c r="F107" s="27" t="s">
        <v>220</v>
      </c>
    </row>
    <row r="108" spans="1:6" ht="13.5" customHeight="1" x14ac:dyDescent="0.35">
      <c r="A108" s="19" t="s">
        <v>279</v>
      </c>
      <c r="B108" s="20" t="s">
        <v>20</v>
      </c>
      <c r="C108" s="21">
        <v>101</v>
      </c>
      <c r="D108" s="19" t="s">
        <v>216</v>
      </c>
      <c r="E108" s="22">
        <v>14</v>
      </c>
      <c r="F108" s="19" t="s">
        <v>217</v>
      </c>
    </row>
    <row r="109" spans="1:6" ht="13.5" customHeight="1" x14ac:dyDescent="0.35">
      <c r="A109" s="23" t="s">
        <v>280</v>
      </c>
      <c r="B109" s="24" t="s">
        <v>26</v>
      </c>
      <c r="C109" s="25">
        <v>254</v>
      </c>
      <c r="D109" s="23" t="s">
        <v>216</v>
      </c>
      <c r="E109" s="26">
        <v>3</v>
      </c>
      <c r="F109" s="23" t="s">
        <v>219</v>
      </c>
    </row>
    <row r="110" spans="1:6" ht="13.5" customHeight="1" x14ac:dyDescent="0.35">
      <c r="A110" s="27" t="s">
        <v>281</v>
      </c>
      <c r="B110" s="28" t="s">
        <v>42</v>
      </c>
      <c r="C110" s="29">
        <v>84</v>
      </c>
      <c r="D110" s="27" t="s">
        <v>282</v>
      </c>
      <c r="E110" s="30">
        <v>4</v>
      </c>
      <c r="F110" s="27" t="s">
        <v>220</v>
      </c>
    </row>
    <row r="111" spans="1:6" ht="13.5" customHeight="1" x14ac:dyDescent="0.35">
      <c r="A111" s="19" t="s">
        <v>283</v>
      </c>
      <c r="B111" s="20" t="s">
        <v>20</v>
      </c>
      <c r="C111" s="21">
        <v>195</v>
      </c>
      <c r="D111" s="19" t="s">
        <v>218</v>
      </c>
      <c r="E111" s="22">
        <v>6</v>
      </c>
      <c r="F111" s="19" t="s">
        <v>217</v>
      </c>
    </row>
    <row r="112" spans="1:6" ht="13.5" customHeight="1" x14ac:dyDescent="0.35">
      <c r="A112" s="19" t="s">
        <v>284</v>
      </c>
      <c r="B112" s="20" t="s">
        <v>20</v>
      </c>
      <c r="C112" s="21">
        <v>176</v>
      </c>
      <c r="D112" s="19" t="s">
        <v>218</v>
      </c>
      <c r="E112" s="22">
        <v>1</v>
      </c>
      <c r="F112" s="19" t="s">
        <v>217</v>
      </c>
    </row>
    <row r="113" spans="1:6" ht="13.5" customHeight="1" x14ac:dyDescent="0.35">
      <c r="A113" s="19" t="s">
        <v>285</v>
      </c>
      <c r="B113" s="20" t="s">
        <v>20</v>
      </c>
      <c r="C113" s="21">
        <v>140</v>
      </c>
      <c r="D113" s="19" t="s">
        <v>218</v>
      </c>
      <c r="E113" s="22">
        <v>1</v>
      </c>
      <c r="F113" s="19" t="s">
        <v>217</v>
      </c>
    </row>
    <row r="114" spans="1:6" ht="13.5" customHeight="1" x14ac:dyDescent="0.35">
      <c r="A114" s="19" t="s">
        <v>286</v>
      </c>
      <c r="B114" s="20" t="s">
        <v>20</v>
      </c>
      <c r="C114" s="21">
        <v>142</v>
      </c>
      <c r="D114" s="19" t="s">
        <v>218</v>
      </c>
      <c r="E114" s="22">
        <v>1</v>
      </c>
      <c r="F114" s="19" t="s">
        <v>217</v>
      </c>
    </row>
    <row r="115" spans="1:6" ht="13.5" customHeight="1" x14ac:dyDescent="0.35">
      <c r="A115" s="27" t="s">
        <v>287</v>
      </c>
      <c r="B115" s="28" t="s">
        <v>42</v>
      </c>
      <c r="C115" s="29">
        <v>99</v>
      </c>
      <c r="D115" s="27" t="s">
        <v>214</v>
      </c>
      <c r="E115" s="30">
        <v>1</v>
      </c>
      <c r="F115" s="27" t="s">
        <v>220</v>
      </c>
    </row>
    <row r="116" spans="1:6" ht="13.5" customHeight="1" x14ac:dyDescent="0.35">
      <c r="A116" s="19" t="s">
        <v>288</v>
      </c>
      <c r="B116" s="20" t="s">
        <v>20</v>
      </c>
      <c r="C116" s="21">
        <v>158</v>
      </c>
      <c r="D116" s="19" t="s">
        <v>218</v>
      </c>
      <c r="E116" s="22">
        <v>1</v>
      </c>
      <c r="F116" s="19" t="s">
        <v>217</v>
      </c>
    </row>
    <row r="117" spans="1:6" ht="13.5" customHeight="1" x14ac:dyDescent="0.35">
      <c r="A117" s="19" t="s">
        <v>289</v>
      </c>
      <c r="B117" s="20" t="s">
        <v>20</v>
      </c>
      <c r="C117" s="21">
        <v>173</v>
      </c>
      <c r="D117" s="19" t="s">
        <v>218</v>
      </c>
      <c r="E117" s="22">
        <v>1</v>
      </c>
      <c r="F117" s="19" t="s">
        <v>217</v>
      </c>
    </row>
    <row r="118" spans="1:6" ht="13.5" customHeight="1" x14ac:dyDescent="0.35">
      <c r="A118" s="27" t="s">
        <v>290</v>
      </c>
      <c r="B118" s="28" t="s">
        <v>42</v>
      </c>
      <c r="C118" s="29">
        <v>69</v>
      </c>
      <c r="D118" s="27" t="s">
        <v>214</v>
      </c>
      <c r="E118" s="30">
        <v>1</v>
      </c>
      <c r="F118" s="27" t="s">
        <v>220</v>
      </c>
    </row>
    <row r="119" spans="1:6" ht="13.5" customHeight="1" x14ac:dyDescent="0.35">
      <c r="A119" s="19" t="s">
        <v>291</v>
      </c>
      <c r="B119" s="20" t="s">
        <v>20</v>
      </c>
      <c r="C119" s="21">
        <v>184</v>
      </c>
      <c r="D119" s="19" t="s">
        <v>214</v>
      </c>
      <c r="E119" s="22">
        <v>1</v>
      </c>
      <c r="F119" s="19" t="s">
        <v>217</v>
      </c>
    </row>
    <row r="120" spans="1:6" ht="13.5" customHeight="1" x14ac:dyDescent="0.35">
      <c r="A120" s="19" t="s">
        <v>292</v>
      </c>
      <c r="B120" s="20" t="s">
        <v>20</v>
      </c>
      <c r="C120" s="21">
        <v>128</v>
      </c>
      <c r="D120" s="19" t="s">
        <v>218</v>
      </c>
      <c r="E120" s="22">
        <v>1</v>
      </c>
      <c r="F120" s="19" t="s">
        <v>217</v>
      </c>
    </row>
    <row r="121" spans="1:6" ht="13.5" customHeight="1" x14ac:dyDescent="0.35">
      <c r="A121" s="19" t="s">
        <v>293</v>
      </c>
      <c r="B121" s="20" t="s">
        <v>20</v>
      </c>
      <c r="C121" s="21">
        <v>157</v>
      </c>
      <c r="D121" s="19" t="s">
        <v>216</v>
      </c>
      <c r="E121" s="22">
        <v>5</v>
      </c>
      <c r="F121" s="19" t="s">
        <v>217</v>
      </c>
    </row>
    <row r="122" spans="1:6" ht="13.5" customHeight="1" x14ac:dyDescent="0.35">
      <c r="A122" s="19" t="s">
        <v>294</v>
      </c>
      <c r="B122" s="20" t="s">
        <v>20</v>
      </c>
      <c r="C122" s="21">
        <v>161</v>
      </c>
      <c r="D122" s="19" t="s">
        <v>218</v>
      </c>
      <c r="E122" s="22">
        <v>1</v>
      </c>
      <c r="F122" s="19" t="s">
        <v>217</v>
      </c>
    </row>
    <row r="123" spans="1:6" ht="13.5" customHeight="1" x14ac:dyDescent="0.35">
      <c r="A123" s="19" t="s">
        <v>295</v>
      </c>
      <c r="B123" s="20" t="s">
        <v>20</v>
      </c>
      <c r="C123" s="21">
        <v>151</v>
      </c>
      <c r="D123" s="19" t="s">
        <v>214</v>
      </c>
      <c r="E123" s="22">
        <v>1</v>
      </c>
      <c r="F123" s="19" t="s">
        <v>217</v>
      </c>
    </row>
    <row r="124" spans="1:6" ht="13.5" customHeight="1" x14ac:dyDescent="0.35">
      <c r="A124" s="27" t="s">
        <v>296</v>
      </c>
      <c r="B124" s="28" t="s">
        <v>42</v>
      </c>
      <c r="C124" s="29">
        <v>54</v>
      </c>
      <c r="D124" s="27" t="s">
        <v>214</v>
      </c>
      <c r="E124" s="30">
        <v>1</v>
      </c>
      <c r="F124" s="27" t="s">
        <v>220</v>
      </c>
    </row>
    <row r="125" spans="1:6" ht="13.5" customHeight="1" x14ac:dyDescent="0.35">
      <c r="A125" s="19" t="s">
        <v>297</v>
      </c>
      <c r="B125" s="20" t="s">
        <v>20</v>
      </c>
      <c r="C125" s="21">
        <v>168</v>
      </c>
      <c r="D125" s="19" t="s">
        <v>214</v>
      </c>
      <c r="E125" s="22">
        <v>2</v>
      </c>
      <c r="F125" s="19" t="s">
        <v>217</v>
      </c>
    </row>
    <row r="126" spans="1:6" ht="13.5" customHeight="1" x14ac:dyDescent="0.35">
      <c r="A126" s="27" t="s">
        <v>298</v>
      </c>
      <c r="B126" s="28" t="s">
        <v>42</v>
      </c>
      <c r="C126" s="29">
        <v>72</v>
      </c>
      <c r="D126" s="27" t="s">
        <v>214</v>
      </c>
      <c r="E126" s="30">
        <v>1</v>
      </c>
      <c r="F126" s="27" t="s">
        <v>220</v>
      </c>
    </row>
    <row r="127" spans="1:6" ht="13.5" customHeight="1" x14ac:dyDescent="0.35">
      <c r="A127" s="19" t="s">
        <v>299</v>
      </c>
      <c r="B127" s="20" t="s">
        <v>20</v>
      </c>
      <c r="C127" s="21">
        <v>132</v>
      </c>
      <c r="D127" s="19" t="s">
        <v>216</v>
      </c>
      <c r="E127" s="22">
        <v>3</v>
      </c>
      <c r="F127" s="19" t="s">
        <v>217</v>
      </c>
    </row>
    <row r="128" spans="1:6" ht="13.5" customHeight="1" x14ac:dyDescent="0.35">
      <c r="A128" s="19" t="s">
        <v>300</v>
      </c>
      <c r="B128" s="20" t="s">
        <v>20</v>
      </c>
      <c r="C128" s="21">
        <v>123</v>
      </c>
      <c r="D128" s="19" t="s">
        <v>218</v>
      </c>
      <c r="E128" s="22">
        <v>1</v>
      </c>
      <c r="F128" s="19" t="s">
        <v>217</v>
      </c>
    </row>
    <row r="129" spans="1:6" ht="13.5" customHeight="1" x14ac:dyDescent="0.35">
      <c r="A129" s="23" t="s">
        <v>301</v>
      </c>
      <c r="B129" s="24" t="s">
        <v>26</v>
      </c>
      <c r="C129" s="25">
        <v>261</v>
      </c>
      <c r="D129" s="23" t="s">
        <v>218</v>
      </c>
      <c r="E129" s="26">
        <v>1</v>
      </c>
      <c r="F129" s="23" t="s">
        <v>219</v>
      </c>
    </row>
    <row r="130" spans="1:6" ht="13.5" customHeight="1" x14ac:dyDescent="0.35">
      <c r="A130" s="19" t="s">
        <v>302</v>
      </c>
      <c r="B130" s="20" t="s">
        <v>20</v>
      </c>
      <c r="C130" s="21">
        <v>199</v>
      </c>
      <c r="D130" s="19" t="s">
        <v>218</v>
      </c>
      <c r="E130" s="22">
        <v>1</v>
      </c>
      <c r="F130" s="19" t="s">
        <v>217</v>
      </c>
    </row>
    <row r="131" spans="1:6" ht="13.5" customHeight="1" x14ac:dyDescent="0.35">
      <c r="A131" s="19" t="s">
        <v>303</v>
      </c>
      <c r="B131" s="20" t="s">
        <v>20</v>
      </c>
      <c r="C131" s="21">
        <v>110</v>
      </c>
      <c r="D131" s="19" t="s">
        <v>218</v>
      </c>
      <c r="E131" s="22">
        <v>1</v>
      </c>
      <c r="F131" s="19" t="s">
        <v>217</v>
      </c>
    </row>
    <row r="132" spans="1:6" ht="13.5" customHeight="1" x14ac:dyDescent="0.35">
      <c r="A132" s="19" t="s">
        <v>304</v>
      </c>
      <c r="B132" s="20" t="s">
        <v>20</v>
      </c>
      <c r="C132" s="21">
        <v>159</v>
      </c>
      <c r="D132" s="19" t="s">
        <v>218</v>
      </c>
      <c r="E132" s="22">
        <v>1</v>
      </c>
      <c r="F132" s="19" t="s">
        <v>217</v>
      </c>
    </row>
    <row r="133" spans="1:6" ht="13.5" customHeight="1" x14ac:dyDescent="0.35">
      <c r="A133" s="19" t="s">
        <v>305</v>
      </c>
      <c r="B133" s="20" t="s">
        <v>20</v>
      </c>
      <c r="C133" s="21">
        <v>195</v>
      </c>
      <c r="D133" s="19" t="s">
        <v>214</v>
      </c>
      <c r="E133" s="22">
        <v>1</v>
      </c>
      <c r="F133" s="19" t="s">
        <v>217</v>
      </c>
    </row>
    <row r="134" spans="1:6" ht="13.5" customHeight="1" x14ac:dyDescent="0.35">
      <c r="A134" s="23" t="s">
        <v>306</v>
      </c>
      <c r="B134" s="24" t="s">
        <v>26</v>
      </c>
      <c r="C134" s="25">
        <v>207</v>
      </c>
      <c r="D134" s="23" t="s">
        <v>218</v>
      </c>
      <c r="E134" s="26">
        <v>1</v>
      </c>
      <c r="F134" s="23" t="s">
        <v>219</v>
      </c>
    </row>
    <row r="135" spans="1:6" ht="13.5" customHeight="1" x14ac:dyDescent="0.35">
      <c r="A135" s="19" t="s">
        <v>307</v>
      </c>
      <c r="B135" s="20" t="s">
        <v>20</v>
      </c>
      <c r="C135" s="21">
        <v>129</v>
      </c>
      <c r="D135" s="19" t="s">
        <v>214</v>
      </c>
      <c r="E135" s="22">
        <v>1</v>
      </c>
      <c r="F135" s="19" t="s">
        <v>217</v>
      </c>
    </row>
    <row r="136" spans="1:6" ht="13.5" customHeight="1" x14ac:dyDescent="0.35">
      <c r="A136" s="27" t="s">
        <v>308</v>
      </c>
      <c r="B136" s="28" t="s">
        <v>42</v>
      </c>
      <c r="C136" s="29">
        <v>76</v>
      </c>
      <c r="D136" s="27" t="s">
        <v>309</v>
      </c>
      <c r="E136" s="30">
        <v>1</v>
      </c>
      <c r="F136" s="27" t="s">
        <v>220</v>
      </c>
    </row>
    <row r="137" spans="1:6" ht="13.5" customHeight="1" x14ac:dyDescent="0.35">
      <c r="A137" s="27" t="s">
        <v>310</v>
      </c>
      <c r="B137" s="28" t="s">
        <v>42</v>
      </c>
      <c r="C137" s="29">
        <v>86</v>
      </c>
      <c r="D137" s="27" t="s">
        <v>218</v>
      </c>
      <c r="E137" s="30">
        <v>2</v>
      </c>
      <c r="F137" s="27" t="s">
        <v>220</v>
      </c>
    </row>
    <row r="138" spans="1:6" ht="13.5" customHeight="1" x14ac:dyDescent="0.35">
      <c r="A138" s="19" t="s">
        <v>311</v>
      </c>
      <c r="B138" s="20" t="s">
        <v>20</v>
      </c>
      <c r="C138" s="21">
        <v>123</v>
      </c>
      <c r="D138" s="19" t="s">
        <v>218</v>
      </c>
      <c r="E138" s="22">
        <v>7</v>
      </c>
      <c r="F138" s="19" t="s">
        <v>217</v>
      </c>
    </row>
    <row r="139" spans="1:6" ht="13.5" customHeight="1" x14ac:dyDescent="0.35">
      <c r="A139" s="27" t="s">
        <v>312</v>
      </c>
      <c r="B139" s="28" t="s">
        <v>42</v>
      </c>
      <c r="C139" s="29">
        <v>76</v>
      </c>
      <c r="D139" s="27" t="s">
        <v>214</v>
      </c>
      <c r="E139" s="30">
        <v>1</v>
      </c>
      <c r="F139" s="27" t="s">
        <v>220</v>
      </c>
    </row>
    <row r="140" spans="1:6" ht="13.5" customHeight="1" x14ac:dyDescent="0.35">
      <c r="A140" s="27" t="s">
        <v>313</v>
      </c>
      <c r="B140" s="28" t="s">
        <v>42</v>
      </c>
      <c r="C140" s="29">
        <v>61</v>
      </c>
      <c r="D140" s="27" t="s">
        <v>214</v>
      </c>
      <c r="E140" s="30">
        <v>1</v>
      </c>
      <c r="F140" s="27" t="s">
        <v>220</v>
      </c>
    </row>
    <row r="141" spans="1:6" ht="13.5" customHeight="1" x14ac:dyDescent="0.35">
      <c r="A141" s="23" t="s">
        <v>314</v>
      </c>
      <c r="B141" s="24" t="s">
        <v>26</v>
      </c>
      <c r="C141" s="25">
        <v>219</v>
      </c>
      <c r="D141" s="23" t="s">
        <v>216</v>
      </c>
      <c r="E141" s="26">
        <v>3</v>
      </c>
      <c r="F141" s="23" t="s">
        <v>219</v>
      </c>
    </row>
    <row r="142" spans="1:6" ht="13.5" customHeight="1" x14ac:dyDescent="0.35">
      <c r="A142" s="27" t="s">
        <v>315</v>
      </c>
      <c r="B142" s="28" t="s">
        <v>42</v>
      </c>
      <c r="C142" s="29">
        <v>69</v>
      </c>
      <c r="D142" s="27" t="s">
        <v>214</v>
      </c>
      <c r="E142" s="30">
        <v>1</v>
      </c>
      <c r="F142" s="27" t="s">
        <v>220</v>
      </c>
    </row>
    <row r="143" spans="1:6" ht="13.5" customHeight="1" x14ac:dyDescent="0.35">
      <c r="A143" s="23" t="s">
        <v>316</v>
      </c>
      <c r="B143" s="24" t="s">
        <v>26</v>
      </c>
      <c r="C143" s="25">
        <v>211</v>
      </c>
      <c r="D143" s="23" t="s">
        <v>218</v>
      </c>
      <c r="E143" s="26">
        <v>1</v>
      </c>
      <c r="F143" s="23" t="s">
        <v>219</v>
      </c>
    </row>
    <row r="144" spans="1:6" ht="13.5" customHeight="1" x14ac:dyDescent="0.35">
      <c r="A144" s="19" t="s">
        <v>317</v>
      </c>
      <c r="B144" s="20" t="s">
        <v>20</v>
      </c>
      <c r="C144" s="21">
        <v>170</v>
      </c>
      <c r="D144" s="19" t="s">
        <v>218</v>
      </c>
      <c r="E144" s="22">
        <v>1</v>
      </c>
      <c r="F144" s="19" t="s">
        <v>217</v>
      </c>
    </row>
    <row r="145" spans="1:6" ht="13.5" customHeight="1" x14ac:dyDescent="0.35">
      <c r="A145" s="23" t="s">
        <v>318</v>
      </c>
      <c r="B145" s="24" t="s">
        <v>26</v>
      </c>
      <c r="C145" s="25">
        <v>214</v>
      </c>
      <c r="D145" s="23" t="s">
        <v>216</v>
      </c>
      <c r="E145" s="26">
        <v>6</v>
      </c>
      <c r="F145" s="23" t="s">
        <v>219</v>
      </c>
    </row>
    <row r="146" spans="1:6" ht="13.5" customHeight="1" x14ac:dyDescent="0.35">
      <c r="A146" s="19" t="s">
        <v>319</v>
      </c>
      <c r="B146" s="20" t="s">
        <v>20</v>
      </c>
      <c r="C146" s="21">
        <v>122</v>
      </c>
      <c r="D146" s="19" t="s">
        <v>218</v>
      </c>
      <c r="E146" s="22">
        <v>1</v>
      </c>
      <c r="F146" s="19" t="s">
        <v>217</v>
      </c>
    </row>
    <row r="147" spans="1:6" ht="13.5" customHeight="1" x14ac:dyDescent="0.35">
      <c r="A147" s="27" t="s">
        <v>320</v>
      </c>
      <c r="B147" s="28" t="s">
        <v>42</v>
      </c>
      <c r="C147" s="29">
        <v>51</v>
      </c>
      <c r="D147" s="27" t="s">
        <v>218</v>
      </c>
      <c r="E147" s="30">
        <v>1</v>
      </c>
      <c r="F147" s="27" t="s">
        <v>220</v>
      </c>
    </row>
    <row r="148" spans="1:6" ht="13.5" customHeight="1" x14ac:dyDescent="0.35">
      <c r="A148" s="19" t="s">
        <v>321</v>
      </c>
      <c r="B148" s="20" t="s">
        <v>20</v>
      </c>
      <c r="C148" s="21">
        <v>111</v>
      </c>
      <c r="D148" s="19" t="s">
        <v>214</v>
      </c>
      <c r="E148" s="22">
        <v>1</v>
      </c>
      <c r="F148" s="19" t="s">
        <v>217</v>
      </c>
    </row>
    <row r="149" spans="1:6" ht="13.5" customHeight="1" x14ac:dyDescent="0.35">
      <c r="A149" s="19" t="s">
        <v>322</v>
      </c>
      <c r="B149" s="20" t="s">
        <v>20</v>
      </c>
      <c r="C149" s="21">
        <v>134</v>
      </c>
      <c r="D149" s="19" t="s">
        <v>218</v>
      </c>
      <c r="E149" s="22">
        <v>1</v>
      </c>
      <c r="F149" s="19" t="s">
        <v>217</v>
      </c>
    </row>
    <row r="150" spans="1:6" ht="13.5" customHeight="1" x14ac:dyDescent="0.35">
      <c r="A150" s="19" t="s">
        <v>323</v>
      </c>
      <c r="B150" s="20" t="s">
        <v>20</v>
      </c>
      <c r="C150" s="21">
        <v>126</v>
      </c>
      <c r="D150" s="19" t="s">
        <v>214</v>
      </c>
      <c r="E150" s="22">
        <v>1</v>
      </c>
      <c r="F150" s="19" t="s">
        <v>217</v>
      </c>
    </row>
    <row r="151" spans="1:6" ht="13.5" customHeight="1" x14ac:dyDescent="0.35">
      <c r="A151" s="19" t="s">
        <v>324</v>
      </c>
      <c r="B151" s="20" t="s">
        <v>20</v>
      </c>
      <c r="C151" s="21">
        <v>138</v>
      </c>
      <c r="D151" s="19" t="s">
        <v>214</v>
      </c>
      <c r="E151" s="22">
        <v>1</v>
      </c>
      <c r="F151" s="19" t="s">
        <v>217</v>
      </c>
    </row>
    <row r="152" spans="1:6" ht="13.5" customHeight="1" x14ac:dyDescent="0.35">
      <c r="A152" s="23" t="s">
        <v>325</v>
      </c>
      <c r="B152" s="24" t="s">
        <v>26</v>
      </c>
      <c r="C152" s="25">
        <v>236</v>
      </c>
      <c r="D152" s="23" t="s">
        <v>218</v>
      </c>
      <c r="E152" s="26">
        <v>1</v>
      </c>
      <c r="F152" s="23" t="s">
        <v>219</v>
      </c>
    </row>
    <row r="153" spans="1:6" ht="13.5" customHeight="1" x14ac:dyDescent="0.35">
      <c r="A153" s="23" t="s">
        <v>326</v>
      </c>
      <c r="B153" s="24" t="s">
        <v>26</v>
      </c>
      <c r="C153" s="25">
        <v>264</v>
      </c>
      <c r="D153" s="23" t="s">
        <v>218</v>
      </c>
      <c r="E153" s="26">
        <v>1</v>
      </c>
      <c r="F153" s="23" t="s">
        <v>219</v>
      </c>
    </row>
    <row r="154" spans="1:6" ht="13.5" customHeight="1" x14ac:dyDescent="0.35">
      <c r="A154" s="27" t="s">
        <v>327</v>
      </c>
      <c r="B154" s="28" t="s">
        <v>42</v>
      </c>
      <c r="C154" s="29">
        <v>82</v>
      </c>
      <c r="D154" s="27" t="s">
        <v>214</v>
      </c>
      <c r="E154" s="30">
        <v>1</v>
      </c>
      <c r="F154" s="27" t="s">
        <v>220</v>
      </c>
    </row>
    <row r="155" spans="1:6" ht="13.5" customHeight="1" x14ac:dyDescent="0.35">
      <c r="A155" s="32" t="s">
        <v>328</v>
      </c>
      <c r="B155" s="33" t="s">
        <v>83</v>
      </c>
      <c r="C155" s="34">
        <v>315</v>
      </c>
      <c r="D155" s="32" t="s">
        <v>216</v>
      </c>
      <c r="E155" s="35">
        <v>3</v>
      </c>
      <c r="F155" s="32" t="s">
        <v>221</v>
      </c>
    </row>
    <row r="156" spans="1:6" ht="13.5" customHeight="1" x14ac:dyDescent="0.35">
      <c r="A156" s="27" t="s">
        <v>329</v>
      </c>
      <c r="B156" s="28" t="s">
        <v>42</v>
      </c>
      <c r="C156" s="29">
        <v>81</v>
      </c>
      <c r="D156" s="27" t="s">
        <v>237</v>
      </c>
      <c r="E156" s="30">
        <v>1</v>
      </c>
      <c r="F156" s="27" t="s">
        <v>220</v>
      </c>
    </row>
    <row r="157" spans="1:6" ht="13.5" customHeight="1" x14ac:dyDescent="0.35">
      <c r="A157" s="19" t="s">
        <v>330</v>
      </c>
      <c r="B157" s="20" t="s">
        <v>20</v>
      </c>
      <c r="C157" s="21">
        <v>130</v>
      </c>
      <c r="D157" s="19" t="s">
        <v>214</v>
      </c>
      <c r="E157" s="22">
        <v>1</v>
      </c>
      <c r="F157" s="19" t="s">
        <v>217</v>
      </c>
    </row>
    <row r="158" spans="1:6" ht="13.5" customHeight="1" x14ac:dyDescent="0.35">
      <c r="A158" s="19" t="s">
        <v>331</v>
      </c>
      <c r="B158" s="20" t="s">
        <v>20</v>
      </c>
      <c r="C158" s="21">
        <v>197</v>
      </c>
      <c r="D158" s="19" t="s">
        <v>218</v>
      </c>
      <c r="E158" s="22">
        <v>6</v>
      </c>
      <c r="F158" s="19" t="s">
        <v>217</v>
      </c>
    </row>
    <row r="159" spans="1:6" ht="13.5" customHeight="1" x14ac:dyDescent="0.35">
      <c r="A159" s="27" t="s">
        <v>332</v>
      </c>
      <c r="B159" s="28" t="s">
        <v>42</v>
      </c>
      <c r="C159" s="29">
        <v>81</v>
      </c>
      <c r="D159" s="27" t="s">
        <v>218</v>
      </c>
      <c r="E159" s="30">
        <v>1</v>
      </c>
      <c r="F159" s="27" t="s">
        <v>220</v>
      </c>
    </row>
    <row r="160" spans="1:6" ht="13.5" customHeight="1" x14ac:dyDescent="0.35">
      <c r="A160" s="19" t="s">
        <v>333</v>
      </c>
      <c r="B160" s="20" t="s">
        <v>20</v>
      </c>
      <c r="C160" s="21">
        <v>130</v>
      </c>
      <c r="D160" s="19" t="s">
        <v>218</v>
      </c>
      <c r="E160" s="22">
        <v>24</v>
      </c>
      <c r="F160" s="19" t="s">
        <v>217</v>
      </c>
    </row>
    <row r="161" spans="1:6" ht="13.5" customHeight="1" x14ac:dyDescent="0.35">
      <c r="A161" s="27" t="s">
        <v>334</v>
      </c>
      <c r="B161" s="28" t="s">
        <v>42</v>
      </c>
      <c r="C161" s="29">
        <v>97</v>
      </c>
      <c r="D161" s="27" t="s">
        <v>218</v>
      </c>
      <c r="E161" s="30">
        <v>1</v>
      </c>
      <c r="F161" s="27" t="s">
        <v>220</v>
      </c>
    </row>
    <row r="162" spans="1:6" ht="13.5" customHeight="1" x14ac:dyDescent="0.35">
      <c r="A162" s="23" t="s">
        <v>335</v>
      </c>
      <c r="B162" s="24" t="s">
        <v>26</v>
      </c>
      <c r="C162" s="25">
        <v>251</v>
      </c>
      <c r="D162" s="23" t="s">
        <v>218</v>
      </c>
      <c r="E162" s="26">
        <v>1</v>
      </c>
      <c r="F162" s="23" t="s">
        <v>219</v>
      </c>
    </row>
    <row r="163" spans="1:6" ht="13.5" customHeight="1" x14ac:dyDescent="0.35">
      <c r="A163" s="19" t="s">
        <v>336</v>
      </c>
      <c r="B163" s="20" t="s">
        <v>20</v>
      </c>
      <c r="C163" s="21">
        <v>152</v>
      </c>
      <c r="D163" s="19" t="s">
        <v>218</v>
      </c>
      <c r="E163" s="22">
        <v>3</v>
      </c>
      <c r="F163" s="19" t="s">
        <v>217</v>
      </c>
    </row>
    <row r="164" spans="1:6" ht="13.5" customHeight="1" x14ac:dyDescent="0.35">
      <c r="A164" s="27" t="s">
        <v>337</v>
      </c>
      <c r="B164" s="28" t="s">
        <v>42</v>
      </c>
      <c r="C164" s="29">
        <v>81</v>
      </c>
      <c r="D164" s="27" t="s">
        <v>214</v>
      </c>
      <c r="E164" s="30">
        <v>1</v>
      </c>
      <c r="F164" s="27" t="s">
        <v>220</v>
      </c>
    </row>
    <row r="165" spans="1:6" ht="13.5" customHeight="1" x14ac:dyDescent="0.35">
      <c r="A165" s="19" t="s">
        <v>338</v>
      </c>
      <c r="B165" s="20" t="s">
        <v>20</v>
      </c>
      <c r="C165" s="21">
        <v>139</v>
      </c>
      <c r="D165" s="19" t="s">
        <v>218</v>
      </c>
      <c r="E165" s="22">
        <v>1</v>
      </c>
      <c r="F165" s="19" t="s">
        <v>217</v>
      </c>
    </row>
    <row r="166" spans="1:6" ht="13.5" customHeight="1" x14ac:dyDescent="0.35">
      <c r="A166" s="19" t="s">
        <v>339</v>
      </c>
      <c r="B166" s="20" t="s">
        <v>20</v>
      </c>
      <c r="C166" s="21">
        <v>161</v>
      </c>
      <c r="D166" s="19" t="s">
        <v>214</v>
      </c>
      <c r="E166" s="22">
        <v>1</v>
      </c>
      <c r="F166" s="19" t="s">
        <v>217</v>
      </c>
    </row>
    <row r="167" spans="1:6" ht="13.5" customHeight="1" x14ac:dyDescent="0.35">
      <c r="A167" s="19" t="s">
        <v>340</v>
      </c>
      <c r="B167" s="20" t="s">
        <v>20</v>
      </c>
      <c r="C167" s="21">
        <v>182</v>
      </c>
      <c r="D167" s="19" t="s">
        <v>218</v>
      </c>
      <c r="E167" s="22">
        <v>4</v>
      </c>
      <c r="F167" s="19" t="s">
        <v>217</v>
      </c>
    </row>
    <row r="168" spans="1:6" ht="13.5" customHeight="1" x14ac:dyDescent="0.35">
      <c r="A168" s="19" t="s">
        <v>341</v>
      </c>
      <c r="B168" s="20" t="s">
        <v>20</v>
      </c>
      <c r="C168" s="21">
        <v>108</v>
      </c>
      <c r="D168" s="19" t="s">
        <v>218</v>
      </c>
      <c r="E168" s="22">
        <v>1</v>
      </c>
      <c r="F168" s="19" t="s">
        <v>217</v>
      </c>
    </row>
    <row r="169" spans="1:6" ht="13.5" customHeight="1" x14ac:dyDescent="0.35">
      <c r="A169" s="19" t="s">
        <v>342</v>
      </c>
      <c r="B169" s="20" t="s">
        <v>20</v>
      </c>
      <c r="C169" s="21">
        <v>120</v>
      </c>
      <c r="D169" s="19" t="s">
        <v>218</v>
      </c>
      <c r="E169" s="22">
        <v>1</v>
      </c>
      <c r="F169" s="19" t="s">
        <v>217</v>
      </c>
    </row>
    <row r="170" spans="1:6" ht="13.5" customHeight="1" x14ac:dyDescent="0.35">
      <c r="A170" s="19" t="s">
        <v>343</v>
      </c>
      <c r="B170" s="20" t="s">
        <v>20</v>
      </c>
      <c r="C170" s="21">
        <v>122</v>
      </c>
      <c r="D170" s="19" t="s">
        <v>214</v>
      </c>
      <c r="E170" s="22">
        <v>1</v>
      </c>
      <c r="F170" s="19" t="s">
        <v>217</v>
      </c>
    </row>
    <row r="171" spans="1:6" ht="13.5" customHeight="1" x14ac:dyDescent="0.35">
      <c r="A171" s="23" t="s">
        <v>344</v>
      </c>
      <c r="B171" s="24" t="s">
        <v>26</v>
      </c>
      <c r="C171" s="25">
        <v>204</v>
      </c>
      <c r="D171" s="23" t="s">
        <v>218</v>
      </c>
      <c r="E171" s="26">
        <v>1</v>
      </c>
      <c r="F171" s="23" t="s">
        <v>219</v>
      </c>
    </row>
    <row r="172" spans="1:6" ht="13.5" customHeight="1" x14ac:dyDescent="0.35">
      <c r="A172" s="19" t="s">
        <v>345</v>
      </c>
      <c r="B172" s="20" t="s">
        <v>20</v>
      </c>
      <c r="C172" s="21">
        <v>123</v>
      </c>
      <c r="D172" s="19" t="s">
        <v>216</v>
      </c>
      <c r="E172" s="22">
        <v>3</v>
      </c>
      <c r="F172" s="19" t="s">
        <v>217</v>
      </c>
    </row>
    <row r="173" spans="1:6" ht="13.5" customHeight="1" x14ac:dyDescent="0.35">
      <c r="A173" s="19" t="s">
        <v>346</v>
      </c>
      <c r="B173" s="20" t="s">
        <v>20</v>
      </c>
      <c r="C173" s="21">
        <v>157</v>
      </c>
      <c r="D173" s="19" t="s">
        <v>218</v>
      </c>
      <c r="E173" s="22">
        <v>6</v>
      </c>
      <c r="F173" s="19" t="s">
        <v>217</v>
      </c>
    </row>
    <row r="174" spans="1:6" ht="13.5" customHeight="1" x14ac:dyDescent="0.35">
      <c r="A174" s="19" t="s">
        <v>347</v>
      </c>
      <c r="B174" s="20" t="s">
        <v>20</v>
      </c>
      <c r="C174" s="21">
        <v>123</v>
      </c>
      <c r="D174" s="19" t="s">
        <v>214</v>
      </c>
      <c r="E174" s="22">
        <v>1</v>
      </c>
      <c r="F174" s="19" t="s">
        <v>217</v>
      </c>
    </row>
    <row r="175" spans="1:6" ht="13.5" customHeight="1" x14ac:dyDescent="0.35">
      <c r="A175" s="32" t="s">
        <v>348</v>
      </c>
      <c r="B175" s="33" t="s">
        <v>83</v>
      </c>
      <c r="C175" s="34">
        <v>382</v>
      </c>
      <c r="D175" s="32" t="s">
        <v>218</v>
      </c>
      <c r="E175" s="35">
        <v>4</v>
      </c>
      <c r="F175" s="32" t="s">
        <v>221</v>
      </c>
    </row>
    <row r="176" spans="1:6" ht="13.5" customHeight="1" x14ac:dyDescent="0.35">
      <c r="A176" s="19" t="s">
        <v>349</v>
      </c>
      <c r="B176" s="20" t="s">
        <v>20</v>
      </c>
      <c r="C176" s="21">
        <v>167</v>
      </c>
      <c r="D176" s="19" t="s">
        <v>218</v>
      </c>
      <c r="E176" s="22">
        <v>1</v>
      </c>
      <c r="F176" s="19" t="s">
        <v>217</v>
      </c>
    </row>
    <row r="177" spans="1:6" ht="13.5" customHeight="1" x14ac:dyDescent="0.35">
      <c r="A177" s="19" t="s">
        <v>350</v>
      </c>
      <c r="B177" s="20" t="s">
        <v>20</v>
      </c>
      <c r="C177" s="21">
        <v>103</v>
      </c>
      <c r="D177" s="19" t="s">
        <v>214</v>
      </c>
      <c r="E177" s="22">
        <v>1</v>
      </c>
      <c r="F177" s="19" t="s">
        <v>217</v>
      </c>
    </row>
    <row r="178" spans="1:6" ht="13.5" customHeight="1" x14ac:dyDescent="0.35">
      <c r="A178" s="27" t="s">
        <v>351</v>
      </c>
      <c r="B178" s="28" t="s">
        <v>42</v>
      </c>
      <c r="C178" s="29">
        <v>68</v>
      </c>
      <c r="D178" s="27" t="s">
        <v>214</v>
      </c>
      <c r="E178" s="30">
        <v>1</v>
      </c>
      <c r="F178" s="27" t="s">
        <v>220</v>
      </c>
    </row>
    <row r="179" spans="1:6" ht="13.5" customHeight="1" x14ac:dyDescent="0.35">
      <c r="A179" s="27" t="s">
        <v>352</v>
      </c>
      <c r="B179" s="28" t="s">
        <v>42</v>
      </c>
      <c r="C179" s="29">
        <v>67</v>
      </c>
      <c r="D179" s="27" t="s">
        <v>218</v>
      </c>
      <c r="E179" s="30">
        <v>1</v>
      </c>
      <c r="F179" s="27" t="s">
        <v>220</v>
      </c>
    </row>
    <row r="180" spans="1:6" ht="13.5" customHeight="1" x14ac:dyDescent="0.35">
      <c r="A180" s="23" t="s">
        <v>353</v>
      </c>
      <c r="B180" s="24" t="s">
        <v>26</v>
      </c>
      <c r="C180" s="25">
        <v>290</v>
      </c>
      <c r="D180" s="23" t="s">
        <v>218</v>
      </c>
      <c r="E180" s="26">
        <v>1</v>
      </c>
      <c r="F180" s="23" t="s">
        <v>219</v>
      </c>
    </row>
    <row r="181" spans="1:6" ht="13.5" customHeight="1" x14ac:dyDescent="0.35">
      <c r="A181" s="23" t="s">
        <v>354</v>
      </c>
      <c r="B181" s="24" t="s">
        <v>26</v>
      </c>
      <c r="C181" s="25">
        <v>246</v>
      </c>
      <c r="D181" s="23" t="s">
        <v>218</v>
      </c>
      <c r="E181" s="26">
        <v>1</v>
      </c>
      <c r="F181" s="23" t="s">
        <v>219</v>
      </c>
    </row>
    <row r="182" spans="1:6" ht="13.5" customHeight="1" x14ac:dyDescent="0.35">
      <c r="A182" s="19" t="s">
        <v>355</v>
      </c>
      <c r="B182" s="20" t="s">
        <v>20</v>
      </c>
      <c r="C182" s="21">
        <v>125</v>
      </c>
      <c r="D182" s="19" t="s">
        <v>218</v>
      </c>
      <c r="E182" s="22">
        <v>1</v>
      </c>
      <c r="F182" s="19" t="s">
        <v>217</v>
      </c>
    </row>
    <row r="183" spans="1:6" ht="13.5" customHeight="1" x14ac:dyDescent="0.35">
      <c r="A183" s="19" t="s">
        <v>356</v>
      </c>
      <c r="B183" s="20" t="s">
        <v>20</v>
      </c>
      <c r="C183" s="21">
        <v>124</v>
      </c>
      <c r="D183" s="19" t="s">
        <v>214</v>
      </c>
      <c r="E183" s="22">
        <v>1</v>
      </c>
      <c r="F183" s="19" t="s">
        <v>217</v>
      </c>
    </row>
    <row r="184" spans="1:6" ht="13.5" customHeight="1" x14ac:dyDescent="0.35">
      <c r="A184" s="19" t="s">
        <v>357</v>
      </c>
      <c r="B184" s="20" t="s">
        <v>20</v>
      </c>
      <c r="C184" s="21">
        <v>150</v>
      </c>
      <c r="D184" s="19" t="s">
        <v>216</v>
      </c>
      <c r="E184" s="22">
        <v>5</v>
      </c>
      <c r="F184" s="19" t="s">
        <v>217</v>
      </c>
    </row>
    <row r="185" spans="1:6" ht="13.5" customHeight="1" x14ac:dyDescent="0.35">
      <c r="A185" s="19" t="s">
        <v>358</v>
      </c>
      <c r="B185" s="20" t="s">
        <v>20</v>
      </c>
      <c r="C185" s="21">
        <v>104</v>
      </c>
      <c r="D185" s="19" t="s">
        <v>218</v>
      </c>
      <c r="E185" s="22">
        <v>1</v>
      </c>
      <c r="F185" s="19" t="s">
        <v>217</v>
      </c>
    </row>
    <row r="186" spans="1:6" ht="13.5" customHeight="1" x14ac:dyDescent="0.35">
      <c r="A186" s="19" t="s">
        <v>359</v>
      </c>
      <c r="B186" s="20" t="s">
        <v>20</v>
      </c>
      <c r="C186" s="21">
        <v>138</v>
      </c>
      <c r="D186" s="19" t="s">
        <v>216</v>
      </c>
      <c r="E186" s="22">
        <v>4</v>
      </c>
      <c r="F186" s="19" t="s">
        <v>217</v>
      </c>
    </row>
    <row r="187" spans="1:6" ht="13.5" customHeight="1" x14ac:dyDescent="0.35">
      <c r="A187" s="23" t="s">
        <v>360</v>
      </c>
      <c r="B187" s="24" t="s">
        <v>26</v>
      </c>
      <c r="C187" s="25">
        <v>213</v>
      </c>
      <c r="D187" s="23" t="s">
        <v>218</v>
      </c>
      <c r="E187" s="26">
        <v>1</v>
      </c>
      <c r="F187" s="23" t="s">
        <v>219</v>
      </c>
    </row>
    <row r="188" spans="1:6" ht="13.5" customHeight="1" x14ac:dyDescent="0.35">
      <c r="A188" s="23" t="s">
        <v>361</v>
      </c>
      <c r="B188" s="24" t="s">
        <v>26</v>
      </c>
      <c r="C188" s="25">
        <v>214</v>
      </c>
      <c r="D188" s="23" t="s">
        <v>218</v>
      </c>
      <c r="E188" s="26">
        <v>1</v>
      </c>
      <c r="F188" s="23" t="s">
        <v>219</v>
      </c>
    </row>
    <row r="189" spans="1:6" ht="13.5" customHeight="1" x14ac:dyDescent="0.35">
      <c r="A189" s="23" t="s">
        <v>362</v>
      </c>
      <c r="B189" s="24" t="s">
        <v>26</v>
      </c>
      <c r="C189" s="25">
        <v>204</v>
      </c>
      <c r="D189" s="23" t="s">
        <v>218</v>
      </c>
      <c r="E189" s="26">
        <v>3</v>
      </c>
      <c r="F189" s="23" t="s">
        <v>219</v>
      </c>
    </row>
    <row r="190" spans="1:6" ht="13.5" customHeight="1" x14ac:dyDescent="0.35">
      <c r="A190" s="23" t="s">
        <v>363</v>
      </c>
      <c r="B190" s="24" t="s">
        <v>26</v>
      </c>
      <c r="C190" s="25">
        <v>232</v>
      </c>
      <c r="D190" s="23" t="s">
        <v>218</v>
      </c>
      <c r="E190" s="26">
        <v>1</v>
      </c>
      <c r="F190" s="23" t="s">
        <v>219</v>
      </c>
    </row>
    <row r="191" spans="1:6" ht="13.5" customHeight="1" x14ac:dyDescent="0.35">
      <c r="A191" s="19" t="s">
        <v>364</v>
      </c>
      <c r="B191" s="20" t="s">
        <v>20</v>
      </c>
      <c r="C191" s="21">
        <v>177</v>
      </c>
      <c r="D191" s="19" t="s">
        <v>218</v>
      </c>
      <c r="E191" s="22">
        <v>7</v>
      </c>
      <c r="F191" s="19" t="s">
        <v>217</v>
      </c>
    </row>
    <row r="192" spans="1:6" ht="13.5" customHeight="1" x14ac:dyDescent="0.35">
      <c r="A192" s="23" t="s">
        <v>365</v>
      </c>
      <c r="B192" s="24" t="s">
        <v>26</v>
      </c>
      <c r="C192" s="25">
        <v>205</v>
      </c>
      <c r="D192" s="23" t="s">
        <v>218</v>
      </c>
      <c r="E192" s="26">
        <v>1</v>
      </c>
      <c r="F192" s="23" t="s">
        <v>219</v>
      </c>
    </row>
    <row r="193" spans="1:6" ht="13.5" customHeight="1" x14ac:dyDescent="0.35">
      <c r="A193" s="27" t="s">
        <v>366</v>
      </c>
      <c r="B193" s="28" t="s">
        <v>42</v>
      </c>
      <c r="C193" s="29">
        <v>81</v>
      </c>
      <c r="D193" s="27" t="s">
        <v>367</v>
      </c>
      <c r="E193" s="30">
        <v>4</v>
      </c>
      <c r="F193" s="27" t="s">
        <v>220</v>
      </c>
    </row>
    <row r="194" spans="1:6" ht="13.5" customHeight="1" x14ac:dyDescent="0.35">
      <c r="A194" s="19" t="s">
        <v>368</v>
      </c>
      <c r="B194" s="20" t="s">
        <v>20</v>
      </c>
      <c r="C194" s="21">
        <v>138</v>
      </c>
      <c r="D194" s="19" t="s">
        <v>214</v>
      </c>
      <c r="E194" s="22">
        <v>1</v>
      </c>
      <c r="F194" s="19" t="s">
        <v>217</v>
      </c>
    </row>
    <row r="195" spans="1:6" ht="13.5" customHeight="1" x14ac:dyDescent="0.35">
      <c r="A195" s="23" t="s">
        <v>369</v>
      </c>
      <c r="B195" s="24" t="s">
        <v>26</v>
      </c>
      <c r="C195" s="25">
        <v>289</v>
      </c>
      <c r="D195" s="23" t="s">
        <v>218</v>
      </c>
      <c r="E195" s="26">
        <v>1</v>
      </c>
      <c r="F195" s="23" t="s">
        <v>219</v>
      </c>
    </row>
    <row r="196" spans="1:6" ht="13.5" customHeight="1" x14ac:dyDescent="0.35">
      <c r="A196" s="19" t="s">
        <v>370</v>
      </c>
      <c r="B196" s="20" t="s">
        <v>20</v>
      </c>
      <c r="C196" s="21">
        <v>132</v>
      </c>
      <c r="D196" s="19" t="s">
        <v>218</v>
      </c>
      <c r="E196" s="22">
        <v>1</v>
      </c>
      <c r="F196" s="19" t="s">
        <v>217</v>
      </c>
    </row>
    <row r="197" spans="1:6" ht="13.5" customHeight="1" x14ac:dyDescent="0.35">
      <c r="A197" s="19" t="s">
        <v>371</v>
      </c>
      <c r="B197" s="20" t="s">
        <v>20</v>
      </c>
      <c r="C197" s="21">
        <v>175</v>
      </c>
      <c r="D197" s="19" t="s">
        <v>214</v>
      </c>
      <c r="E197" s="22">
        <v>1</v>
      </c>
      <c r="F197" s="19" t="s">
        <v>217</v>
      </c>
    </row>
    <row r="198" spans="1:6" ht="13.5" customHeight="1" x14ac:dyDescent="0.35">
      <c r="A198" s="19" t="s">
        <v>372</v>
      </c>
      <c r="B198" s="20" t="s">
        <v>20</v>
      </c>
      <c r="C198" s="21">
        <v>156</v>
      </c>
      <c r="D198" s="19" t="s">
        <v>218</v>
      </c>
      <c r="E198" s="22">
        <v>1</v>
      </c>
      <c r="F198" s="19" t="s">
        <v>217</v>
      </c>
    </row>
    <row r="199" spans="1:6" ht="13.5" customHeight="1" x14ac:dyDescent="0.35">
      <c r="A199" s="19" t="s">
        <v>373</v>
      </c>
      <c r="B199" s="20" t="s">
        <v>20</v>
      </c>
      <c r="C199" s="21">
        <v>151</v>
      </c>
      <c r="D199" s="19" t="s">
        <v>218</v>
      </c>
      <c r="E199" s="22">
        <v>1</v>
      </c>
      <c r="F199" s="19" t="s">
        <v>217</v>
      </c>
    </row>
    <row r="200" spans="1:6" ht="13.5" customHeight="1" x14ac:dyDescent="0.35">
      <c r="A200" s="19" t="s">
        <v>374</v>
      </c>
      <c r="B200" s="20" t="s">
        <v>20</v>
      </c>
      <c r="C200" s="21">
        <v>162</v>
      </c>
      <c r="D200" s="19" t="s">
        <v>216</v>
      </c>
      <c r="E200" s="22">
        <v>3</v>
      </c>
      <c r="F200" s="19" t="s">
        <v>217</v>
      </c>
    </row>
    <row r="201" spans="1:6" ht="13.5" customHeight="1" x14ac:dyDescent="0.35">
      <c r="A201" s="23" t="s">
        <v>375</v>
      </c>
      <c r="B201" s="24" t="s">
        <v>26</v>
      </c>
      <c r="C201" s="25">
        <v>214</v>
      </c>
      <c r="D201" s="23" t="s">
        <v>214</v>
      </c>
      <c r="E201" s="26">
        <v>1</v>
      </c>
      <c r="F201" s="23" t="s">
        <v>219</v>
      </c>
    </row>
    <row r="202" spans="1:6" ht="13.5" customHeight="1" x14ac:dyDescent="0.35">
      <c r="A202" s="19" t="s">
        <v>376</v>
      </c>
      <c r="B202" s="20" t="s">
        <v>20</v>
      </c>
      <c r="C202" s="21">
        <v>106</v>
      </c>
      <c r="D202" s="19" t="s">
        <v>216</v>
      </c>
      <c r="E202" s="22">
        <v>2</v>
      </c>
      <c r="F202" s="19" t="s">
        <v>217</v>
      </c>
    </row>
    <row r="203" spans="1:6" ht="13.5" customHeight="1" x14ac:dyDescent="0.35">
      <c r="A203" s="19" t="s">
        <v>377</v>
      </c>
      <c r="B203" s="20" t="s">
        <v>20</v>
      </c>
      <c r="C203" s="21">
        <v>101</v>
      </c>
      <c r="D203" s="19" t="s">
        <v>214</v>
      </c>
      <c r="E203" s="22">
        <v>1</v>
      </c>
      <c r="F203" s="19" t="s">
        <v>217</v>
      </c>
    </row>
    <row r="204" spans="1:6" ht="13.5" customHeight="1" x14ac:dyDescent="0.35">
      <c r="A204" s="23" t="s">
        <v>378</v>
      </c>
      <c r="B204" s="24" t="s">
        <v>26</v>
      </c>
      <c r="C204" s="25">
        <v>233</v>
      </c>
      <c r="D204" s="23" t="s">
        <v>218</v>
      </c>
      <c r="E204" s="26">
        <v>1</v>
      </c>
      <c r="F204" s="23" t="s">
        <v>219</v>
      </c>
    </row>
    <row r="205" spans="1:6" ht="13.5" customHeight="1" x14ac:dyDescent="0.35">
      <c r="A205" s="19" t="s">
        <v>379</v>
      </c>
      <c r="B205" s="20" t="s">
        <v>20</v>
      </c>
      <c r="C205" s="21">
        <v>161</v>
      </c>
      <c r="D205" s="19" t="s">
        <v>214</v>
      </c>
      <c r="E205" s="22">
        <v>1</v>
      </c>
      <c r="F205" s="19" t="s">
        <v>217</v>
      </c>
    </row>
    <row r="206" spans="1:6" ht="13.5" customHeight="1" x14ac:dyDescent="0.35">
      <c r="A206" s="19" t="s">
        <v>380</v>
      </c>
      <c r="B206" s="20" t="s">
        <v>20</v>
      </c>
      <c r="C206" s="21">
        <v>122</v>
      </c>
      <c r="D206" s="19" t="s">
        <v>214</v>
      </c>
      <c r="E206" s="22">
        <v>1</v>
      </c>
      <c r="F206" s="19" t="s">
        <v>217</v>
      </c>
    </row>
    <row r="207" spans="1:6" ht="13.5" customHeight="1" x14ac:dyDescent="0.35">
      <c r="A207" s="27" t="s">
        <v>381</v>
      </c>
      <c r="B207" s="28" t="s">
        <v>42</v>
      </c>
      <c r="C207" s="29">
        <v>74</v>
      </c>
      <c r="D207" s="27" t="s">
        <v>214</v>
      </c>
      <c r="E207" s="30">
        <v>1</v>
      </c>
      <c r="F207" s="27" t="s">
        <v>220</v>
      </c>
    </row>
    <row r="208" spans="1:6" ht="13.5" customHeight="1" x14ac:dyDescent="0.35">
      <c r="A208" s="19" t="s">
        <v>382</v>
      </c>
      <c r="B208" s="20" t="s">
        <v>20</v>
      </c>
      <c r="C208" s="21">
        <v>157</v>
      </c>
      <c r="D208" s="19" t="s">
        <v>237</v>
      </c>
      <c r="E208" s="22">
        <v>1</v>
      </c>
      <c r="F208" s="19" t="s">
        <v>217</v>
      </c>
    </row>
    <row r="209" spans="1:6" ht="13.5" customHeight="1" x14ac:dyDescent="0.35">
      <c r="A209" s="27" t="s">
        <v>383</v>
      </c>
      <c r="B209" s="28" t="s">
        <v>42</v>
      </c>
      <c r="C209" s="29">
        <v>64</v>
      </c>
      <c r="D209" s="27" t="s">
        <v>216</v>
      </c>
      <c r="E209" s="30">
        <v>2</v>
      </c>
      <c r="F209" s="27" t="s">
        <v>220</v>
      </c>
    </row>
    <row r="210" spans="1:6" ht="13.5" customHeight="1" x14ac:dyDescent="0.35">
      <c r="A210" s="27" t="s">
        <v>384</v>
      </c>
      <c r="B210" s="28" t="s">
        <v>42</v>
      </c>
      <c r="C210" s="29">
        <v>55</v>
      </c>
      <c r="D210" s="27" t="s">
        <v>214</v>
      </c>
      <c r="E210" s="30">
        <v>1</v>
      </c>
      <c r="F210" s="27" t="s">
        <v>220</v>
      </c>
    </row>
    <row r="211" spans="1:6" ht="13.5" customHeight="1" x14ac:dyDescent="0.35">
      <c r="A211" s="23" t="s">
        <v>385</v>
      </c>
      <c r="B211" s="24" t="s">
        <v>26</v>
      </c>
      <c r="C211" s="25">
        <v>262</v>
      </c>
      <c r="D211" s="23" t="s">
        <v>218</v>
      </c>
      <c r="E211" s="26">
        <v>1</v>
      </c>
      <c r="F211" s="23" t="s">
        <v>219</v>
      </c>
    </row>
    <row r="212" spans="1:6" ht="13.5" customHeight="1" x14ac:dyDescent="0.35">
      <c r="A212" s="27" t="s">
        <v>386</v>
      </c>
      <c r="B212" s="28" t="s">
        <v>42</v>
      </c>
      <c r="C212" s="29">
        <v>64</v>
      </c>
      <c r="D212" s="27" t="s">
        <v>218</v>
      </c>
      <c r="E212" s="30">
        <v>1</v>
      </c>
      <c r="F212" s="27" t="s">
        <v>220</v>
      </c>
    </row>
    <row r="213" spans="1:6" ht="13.5" customHeight="1" x14ac:dyDescent="0.35">
      <c r="A213" s="27" t="s">
        <v>387</v>
      </c>
      <c r="B213" s="28" t="s">
        <v>42</v>
      </c>
      <c r="C213" s="29">
        <v>85</v>
      </c>
      <c r="D213" s="27" t="s">
        <v>237</v>
      </c>
      <c r="E213" s="30">
        <v>1</v>
      </c>
      <c r="F213" s="27" t="s">
        <v>220</v>
      </c>
    </row>
    <row r="214" spans="1:6" ht="13.5" customHeight="1" x14ac:dyDescent="0.35">
      <c r="A214" s="19" t="s">
        <v>388</v>
      </c>
      <c r="B214" s="20" t="s">
        <v>20</v>
      </c>
      <c r="C214" s="21">
        <v>124</v>
      </c>
      <c r="D214" s="19" t="s">
        <v>218</v>
      </c>
      <c r="E214" s="22">
        <v>1</v>
      </c>
      <c r="F214" s="19" t="s">
        <v>217</v>
      </c>
    </row>
    <row r="215" spans="1:6" ht="13.5" customHeight="1" x14ac:dyDescent="0.35">
      <c r="A215" s="19" t="s">
        <v>389</v>
      </c>
      <c r="B215" s="20" t="s">
        <v>20</v>
      </c>
      <c r="C215" s="21">
        <v>148</v>
      </c>
      <c r="D215" s="19" t="s">
        <v>214</v>
      </c>
      <c r="E215" s="22">
        <v>1</v>
      </c>
      <c r="F215" s="19" t="s">
        <v>217</v>
      </c>
    </row>
    <row r="216" spans="1:6" ht="13.5" customHeight="1" x14ac:dyDescent="0.35">
      <c r="A216" s="15" t="s">
        <v>390</v>
      </c>
      <c r="B216" s="16" t="s">
        <v>14</v>
      </c>
      <c r="C216" s="17">
        <v>48</v>
      </c>
      <c r="D216" s="15" t="s">
        <v>218</v>
      </c>
      <c r="E216" s="18">
        <v>1</v>
      </c>
      <c r="F216" s="15" t="s">
        <v>215</v>
      </c>
    </row>
    <row r="217" spans="1:6" ht="13.5" customHeight="1" x14ac:dyDescent="0.35">
      <c r="A217" s="19" t="s">
        <v>391</v>
      </c>
      <c r="B217" s="20" t="s">
        <v>20</v>
      </c>
      <c r="C217" s="21">
        <v>103</v>
      </c>
      <c r="D217" s="19" t="s">
        <v>214</v>
      </c>
      <c r="E217" s="22">
        <v>1</v>
      </c>
      <c r="F217" s="19" t="s">
        <v>217</v>
      </c>
    </row>
    <row r="218" spans="1:6" ht="13.5" customHeight="1" x14ac:dyDescent="0.35">
      <c r="A218" s="19" t="s">
        <v>392</v>
      </c>
      <c r="B218" s="20" t="s">
        <v>20</v>
      </c>
      <c r="C218" s="21">
        <v>169</v>
      </c>
      <c r="D218" s="19" t="s">
        <v>218</v>
      </c>
      <c r="E218" s="22">
        <v>1</v>
      </c>
      <c r="F218" s="19" t="s">
        <v>217</v>
      </c>
    </row>
    <row r="219" spans="1:6" ht="13.5" customHeight="1" x14ac:dyDescent="0.35">
      <c r="A219" s="23" t="s">
        <v>393</v>
      </c>
      <c r="B219" s="24" t="s">
        <v>26</v>
      </c>
      <c r="C219" s="25">
        <v>225</v>
      </c>
      <c r="D219" s="23" t="s">
        <v>218</v>
      </c>
      <c r="E219" s="26">
        <v>1</v>
      </c>
      <c r="F219" s="23" t="s">
        <v>219</v>
      </c>
    </row>
    <row r="220" spans="1:6" ht="13.5" customHeight="1" x14ac:dyDescent="0.35">
      <c r="A220" s="19" t="s">
        <v>394</v>
      </c>
      <c r="B220" s="20" t="s">
        <v>20</v>
      </c>
      <c r="C220" s="21">
        <v>163</v>
      </c>
      <c r="D220" s="19" t="s">
        <v>214</v>
      </c>
      <c r="E220" s="22">
        <v>1</v>
      </c>
      <c r="F220" s="19" t="s">
        <v>217</v>
      </c>
    </row>
    <row r="221" spans="1:6" ht="13.5" customHeight="1" x14ac:dyDescent="0.35">
      <c r="A221" s="27" t="s">
        <v>395</v>
      </c>
      <c r="B221" s="28" t="s">
        <v>42</v>
      </c>
      <c r="C221" s="29">
        <v>70</v>
      </c>
      <c r="D221" s="27" t="s">
        <v>216</v>
      </c>
      <c r="E221" s="30">
        <v>2</v>
      </c>
      <c r="F221" s="27" t="s">
        <v>220</v>
      </c>
    </row>
    <row r="222" spans="1:6" ht="13.5" customHeight="1" x14ac:dyDescent="0.35">
      <c r="A222" s="23" t="s">
        <v>396</v>
      </c>
      <c r="B222" s="24" t="s">
        <v>26</v>
      </c>
      <c r="C222" s="25">
        <v>281</v>
      </c>
      <c r="D222" s="23" t="s">
        <v>218</v>
      </c>
      <c r="E222" s="26">
        <v>1</v>
      </c>
      <c r="F222" s="23" t="s">
        <v>219</v>
      </c>
    </row>
    <row r="223" spans="1:6" ht="13.5" customHeight="1" x14ac:dyDescent="0.35">
      <c r="A223" s="23" t="s">
        <v>397</v>
      </c>
      <c r="B223" s="24" t="s">
        <v>26</v>
      </c>
      <c r="C223" s="25">
        <v>203</v>
      </c>
      <c r="D223" s="23" t="s">
        <v>218</v>
      </c>
      <c r="E223" s="26">
        <v>1</v>
      </c>
      <c r="F223" s="23" t="s">
        <v>219</v>
      </c>
    </row>
    <row r="224" spans="1:6" ht="13.5" customHeight="1" x14ac:dyDescent="0.35">
      <c r="A224" s="23" t="s">
        <v>398</v>
      </c>
      <c r="B224" s="24" t="s">
        <v>26</v>
      </c>
      <c r="C224" s="25">
        <v>223</v>
      </c>
      <c r="D224" s="23" t="s">
        <v>218</v>
      </c>
      <c r="E224" s="26">
        <v>1</v>
      </c>
      <c r="F224" s="23" t="s">
        <v>219</v>
      </c>
    </row>
    <row r="225" spans="1:6" ht="13.5" customHeight="1" x14ac:dyDescent="0.35">
      <c r="A225" s="27" t="s">
        <v>399</v>
      </c>
      <c r="B225" s="28" t="s">
        <v>42</v>
      </c>
      <c r="C225" s="29">
        <v>92</v>
      </c>
      <c r="D225" s="27" t="s">
        <v>214</v>
      </c>
      <c r="E225" s="30">
        <v>1</v>
      </c>
      <c r="F225" s="27" t="s">
        <v>220</v>
      </c>
    </row>
    <row r="226" spans="1:6" ht="13.5" customHeight="1" x14ac:dyDescent="0.35">
      <c r="A226" s="19" t="s">
        <v>400</v>
      </c>
      <c r="B226" s="20" t="s">
        <v>20</v>
      </c>
      <c r="C226" s="21">
        <v>140</v>
      </c>
      <c r="D226" s="19" t="s">
        <v>216</v>
      </c>
      <c r="E226" s="22">
        <v>2</v>
      </c>
      <c r="F226" s="19" t="s">
        <v>217</v>
      </c>
    </row>
    <row r="227" spans="1:6" ht="13.5" customHeight="1" x14ac:dyDescent="0.35">
      <c r="A227" s="19" t="s">
        <v>401</v>
      </c>
      <c r="B227" s="20" t="s">
        <v>20</v>
      </c>
      <c r="C227" s="21">
        <v>174</v>
      </c>
      <c r="D227" s="19" t="s">
        <v>216</v>
      </c>
      <c r="E227" s="22">
        <v>2</v>
      </c>
      <c r="F227" s="19" t="s">
        <v>217</v>
      </c>
    </row>
    <row r="228" spans="1:6" ht="13.5" customHeight="1" x14ac:dyDescent="0.35">
      <c r="A228" s="19" t="s">
        <v>402</v>
      </c>
      <c r="B228" s="20" t="s">
        <v>20</v>
      </c>
      <c r="C228" s="21">
        <v>119</v>
      </c>
      <c r="D228" s="19" t="s">
        <v>214</v>
      </c>
      <c r="E228" s="22">
        <v>1</v>
      </c>
      <c r="F228" s="19" t="s">
        <v>217</v>
      </c>
    </row>
    <row r="229" spans="1:6" ht="13.5" customHeight="1" x14ac:dyDescent="0.35">
      <c r="A229" s="27" t="s">
        <v>403</v>
      </c>
      <c r="B229" s="28" t="s">
        <v>42</v>
      </c>
      <c r="C229" s="29">
        <v>65</v>
      </c>
      <c r="D229" s="27" t="s">
        <v>214</v>
      </c>
      <c r="E229" s="30">
        <v>1</v>
      </c>
      <c r="F229" s="27" t="s">
        <v>220</v>
      </c>
    </row>
    <row r="230" spans="1:6" ht="13.5" customHeight="1" x14ac:dyDescent="0.35">
      <c r="A230" s="23" t="s">
        <v>404</v>
      </c>
      <c r="B230" s="24" t="s">
        <v>26</v>
      </c>
      <c r="C230" s="25">
        <v>293</v>
      </c>
      <c r="D230" s="23" t="s">
        <v>218</v>
      </c>
      <c r="E230" s="26">
        <v>1</v>
      </c>
      <c r="F230" s="23" t="s">
        <v>219</v>
      </c>
    </row>
    <row r="231" spans="1:6" ht="13.5" customHeight="1" x14ac:dyDescent="0.35">
      <c r="A231" s="19" t="s">
        <v>405</v>
      </c>
      <c r="B231" s="20" t="s">
        <v>20</v>
      </c>
      <c r="C231" s="21">
        <v>147</v>
      </c>
      <c r="D231" s="19" t="s">
        <v>218</v>
      </c>
      <c r="E231" s="22">
        <v>1</v>
      </c>
      <c r="F231" s="19" t="s">
        <v>217</v>
      </c>
    </row>
    <row r="232" spans="1:6" ht="13.5" customHeight="1" x14ac:dyDescent="0.35">
      <c r="A232" s="23" t="s">
        <v>406</v>
      </c>
      <c r="B232" s="24" t="s">
        <v>26</v>
      </c>
      <c r="C232" s="25">
        <v>272</v>
      </c>
      <c r="D232" s="23" t="s">
        <v>218</v>
      </c>
      <c r="E232" s="26">
        <v>1</v>
      </c>
      <c r="F232" s="23" t="s">
        <v>219</v>
      </c>
    </row>
    <row r="233" spans="1:6" ht="13.5" customHeight="1" x14ac:dyDescent="0.35">
      <c r="A233" s="19" t="s">
        <v>407</v>
      </c>
      <c r="B233" s="20" t="s">
        <v>20</v>
      </c>
      <c r="C233" s="21">
        <v>142</v>
      </c>
      <c r="D233" s="19" t="s">
        <v>218</v>
      </c>
      <c r="E233" s="22">
        <v>1</v>
      </c>
      <c r="F233" s="19" t="s">
        <v>217</v>
      </c>
    </row>
    <row r="234" spans="1:6" ht="13.5" customHeight="1" x14ac:dyDescent="0.35">
      <c r="A234" s="19" t="s">
        <v>408</v>
      </c>
      <c r="B234" s="20" t="s">
        <v>20</v>
      </c>
      <c r="C234" s="21">
        <v>158</v>
      </c>
      <c r="D234" s="19" t="s">
        <v>214</v>
      </c>
      <c r="E234" s="22">
        <v>1</v>
      </c>
      <c r="F234" s="19" t="s">
        <v>217</v>
      </c>
    </row>
    <row r="235" spans="1:6" ht="13.5" customHeight="1" x14ac:dyDescent="0.35">
      <c r="A235" s="19" t="s">
        <v>409</v>
      </c>
      <c r="B235" s="20" t="s">
        <v>20</v>
      </c>
      <c r="C235" s="21">
        <v>134</v>
      </c>
      <c r="D235" s="19" t="s">
        <v>218</v>
      </c>
      <c r="E235" s="22">
        <v>1</v>
      </c>
      <c r="F235" s="19" t="s">
        <v>217</v>
      </c>
    </row>
    <row r="236" spans="1:6" ht="13.5" customHeight="1" x14ac:dyDescent="0.35">
      <c r="A236" s="19" t="s">
        <v>410</v>
      </c>
      <c r="B236" s="20" t="s">
        <v>20</v>
      </c>
      <c r="C236" s="21">
        <v>174</v>
      </c>
      <c r="D236" s="19" t="s">
        <v>218</v>
      </c>
      <c r="E236" s="22">
        <v>1</v>
      </c>
      <c r="F236" s="19" t="s">
        <v>217</v>
      </c>
    </row>
    <row r="237" spans="1:6" ht="13.5" customHeight="1" x14ac:dyDescent="0.35">
      <c r="A237" s="19" t="s">
        <v>411</v>
      </c>
      <c r="B237" s="20" t="s">
        <v>20</v>
      </c>
      <c r="C237" s="21">
        <v>112</v>
      </c>
      <c r="D237" s="19" t="s">
        <v>218</v>
      </c>
      <c r="E237" s="22">
        <v>1</v>
      </c>
      <c r="F237" s="19" t="s">
        <v>217</v>
      </c>
    </row>
    <row r="238" spans="1:6" ht="13.5" customHeight="1" x14ac:dyDescent="0.35">
      <c r="A238" s="19" t="s">
        <v>412</v>
      </c>
      <c r="B238" s="20" t="s">
        <v>20</v>
      </c>
      <c r="C238" s="21">
        <v>157</v>
      </c>
      <c r="D238" s="19" t="s">
        <v>216</v>
      </c>
      <c r="E238" s="22">
        <v>4</v>
      </c>
      <c r="F238" s="19" t="s">
        <v>217</v>
      </c>
    </row>
    <row r="239" spans="1:6" ht="13.5" customHeight="1" x14ac:dyDescent="0.35">
      <c r="A239" s="23" t="s">
        <v>413</v>
      </c>
      <c r="B239" s="24" t="s">
        <v>26</v>
      </c>
      <c r="C239" s="25">
        <v>222</v>
      </c>
      <c r="D239" s="23" t="s">
        <v>218</v>
      </c>
      <c r="E239" s="26">
        <v>1</v>
      </c>
      <c r="F239" s="23" t="s">
        <v>219</v>
      </c>
    </row>
    <row r="240" spans="1:6" ht="13.5" customHeight="1" x14ac:dyDescent="0.35">
      <c r="A240" s="27" t="s">
        <v>414</v>
      </c>
      <c r="B240" s="28" t="s">
        <v>42</v>
      </c>
      <c r="C240" s="29">
        <v>93</v>
      </c>
      <c r="D240" s="27" t="s">
        <v>216</v>
      </c>
      <c r="E240" s="30">
        <v>4</v>
      </c>
      <c r="F240" s="27" t="s">
        <v>220</v>
      </c>
    </row>
    <row r="241" spans="1:6" ht="13.5" customHeight="1" x14ac:dyDescent="0.35">
      <c r="A241" s="19" t="s">
        <v>415</v>
      </c>
      <c r="B241" s="20" t="s">
        <v>20</v>
      </c>
      <c r="C241" s="21">
        <v>133</v>
      </c>
      <c r="D241" s="19" t="s">
        <v>218</v>
      </c>
      <c r="E241" s="22">
        <v>1</v>
      </c>
      <c r="F241" s="19" t="s">
        <v>217</v>
      </c>
    </row>
    <row r="242" spans="1:6" ht="13.5" customHeight="1" x14ac:dyDescent="0.35">
      <c r="A242" s="32" t="s">
        <v>416</v>
      </c>
      <c r="B242" s="33" t="s">
        <v>83</v>
      </c>
      <c r="C242" s="34">
        <v>306</v>
      </c>
      <c r="D242" s="32" t="s">
        <v>218</v>
      </c>
      <c r="E242" s="35">
        <v>1</v>
      </c>
      <c r="F242" s="32" t="s">
        <v>221</v>
      </c>
    </row>
    <row r="243" spans="1:6" ht="13.5" customHeight="1" x14ac:dyDescent="0.35">
      <c r="A243" s="27" t="s">
        <v>417</v>
      </c>
      <c r="B243" s="28" t="s">
        <v>42</v>
      </c>
      <c r="C243" s="29">
        <v>79</v>
      </c>
      <c r="D243" s="27" t="s">
        <v>214</v>
      </c>
      <c r="E243" s="30">
        <v>1</v>
      </c>
      <c r="F243" s="27" t="s">
        <v>220</v>
      </c>
    </row>
    <row r="244" spans="1:6" ht="13.5" customHeight="1" x14ac:dyDescent="0.35">
      <c r="A244" s="19" t="s">
        <v>418</v>
      </c>
      <c r="B244" s="20" t="s">
        <v>20</v>
      </c>
      <c r="C244" s="21">
        <v>109</v>
      </c>
      <c r="D244" s="19" t="s">
        <v>218</v>
      </c>
      <c r="E244" s="22">
        <v>1</v>
      </c>
      <c r="F244" s="19" t="s">
        <v>217</v>
      </c>
    </row>
    <row r="245" spans="1:6" ht="13.5" customHeight="1" x14ac:dyDescent="0.35">
      <c r="A245" s="23" t="s">
        <v>419</v>
      </c>
      <c r="B245" s="24" t="s">
        <v>26</v>
      </c>
      <c r="C245" s="25">
        <v>229</v>
      </c>
      <c r="D245" s="23" t="s">
        <v>218</v>
      </c>
      <c r="E245" s="26">
        <v>1</v>
      </c>
      <c r="F245" s="23" t="s">
        <v>219</v>
      </c>
    </row>
  </sheetData>
  <autoFilter ref="A3:F245" xr:uid="{00000000-0009-0000-0000-000002000000}"/>
  <mergeCells count="2">
    <mergeCell ref="A1:F1"/>
    <mergeCell ref="A2:F2"/>
  </mergeCells>
  <conditionalFormatting sqref="C4:C245">
    <cfRule type="colorScale" priority="2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opLeftCell="A7" zoomScale="211" zoomScaleNormal="211" workbookViewId="0">
      <selection sqref="A1:D1"/>
    </sheetView>
  </sheetViews>
  <sheetFormatPr defaultColWidth="8.6328125" defaultRowHeight="14.5" x14ac:dyDescent="0.35"/>
  <cols>
    <col min="1" max="1" width="30" customWidth="1"/>
    <col min="2" max="3" width="18" customWidth="1"/>
    <col min="4" max="4" width="40" customWidth="1"/>
  </cols>
  <sheetData>
    <row r="1" spans="1:4" ht="24" customHeight="1" x14ac:dyDescent="0.35">
      <c r="A1" s="48" t="s">
        <v>420</v>
      </c>
      <c r="B1" s="48"/>
      <c r="C1" s="48"/>
      <c r="D1" s="48"/>
    </row>
    <row r="3" spans="1:4" ht="18" customHeight="1" x14ac:dyDescent="0.35">
      <c r="A3" s="49" t="s">
        <v>421</v>
      </c>
      <c r="B3" s="49"/>
      <c r="C3" s="49"/>
      <c r="D3" s="49"/>
    </row>
    <row r="4" spans="1:4" ht="18" customHeight="1" x14ac:dyDescent="0.35">
      <c r="A4" s="36" t="s">
        <v>422</v>
      </c>
      <c r="B4" s="37">
        <f>COUNTA('3. Cleaned Data'!A4:A245)</f>
        <v>242</v>
      </c>
      <c r="C4" s="38"/>
      <c r="D4" s="38"/>
    </row>
    <row r="5" spans="1:4" ht="18" customHeight="1" x14ac:dyDescent="0.35">
      <c r="A5" s="39" t="s">
        <v>423</v>
      </c>
      <c r="B5" s="40">
        <f>MIN('3. Cleaned Data'!C4:C245)</f>
        <v>36</v>
      </c>
      <c r="C5" s="41"/>
      <c r="D5" s="41" t="s">
        <v>424</v>
      </c>
    </row>
    <row r="6" spans="1:4" ht="18" customHeight="1" x14ac:dyDescent="0.35">
      <c r="A6" s="36" t="s">
        <v>425</v>
      </c>
      <c r="B6" s="37">
        <f>MAX('3. Cleaned Data'!C4:C245)</f>
        <v>382</v>
      </c>
      <c r="C6" s="38"/>
      <c r="D6" s="38" t="s">
        <v>426</v>
      </c>
    </row>
    <row r="7" spans="1:4" ht="18" customHeight="1" x14ac:dyDescent="0.35">
      <c r="A7" s="39" t="s">
        <v>427</v>
      </c>
      <c r="B7" s="40">
        <f>AVERAGE('3. Cleaned Data'!C4:C245)</f>
        <v>162.46694214876032</v>
      </c>
      <c r="C7" s="41"/>
      <c r="D7" s="41" t="s">
        <v>428</v>
      </c>
    </row>
    <row r="8" spans="1:4" ht="18" customHeight="1" x14ac:dyDescent="0.35">
      <c r="A8" s="36" t="s">
        <v>429</v>
      </c>
      <c r="B8" s="37">
        <f>MEDIAN('3. Cleaned Data'!C4:C245)</f>
        <v>149</v>
      </c>
      <c r="C8" s="38"/>
      <c r="D8" s="38" t="s">
        <v>430</v>
      </c>
    </row>
    <row r="9" spans="1:4" ht="18" customHeight="1" x14ac:dyDescent="0.35">
      <c r="A9" s="39" t="s">
        <v>431</v>
      </c>
      <c r="B9" s="40">
        <f>COUNTIF('3. Cleaned Data'!B4:B245,"Good")</f>
        <v>4</v>
      </c>
      <c r="C9" s="41"/>
      <c r="D9" s="41" t="s">
        <v>432</v>
      </c>
    </row>
    <row r="10" spans="1:4" ht="18" customHeight="1" x14ac:dyDescent="0.35">
      <c r="A10" s="36" t="s">
        <v>433</v>
      </c>
      <c r="B10" s="37">
        <f>COUNTIF('3. Cleaned Data'!B4:B245,"Satisfactory")</f>
        <v>45</v>
      </c>
      <c r="C10" s="38"/>
      <c r="D10" s="38" t="s">
        <v>434</v>
      </c>
    </row>
    <row r="11" spans="1:4" ht="18" customHeight="1" x14ac:dyDescent="0.35">
      <c r="A11" s="39" t="s">
        <v>435</v>
      </c>
      <c r="B11" s="40">
        <f>COUNTIF('3. Cleaned Data'!B4:B245,"Moderate")</f>
        <v>127</v>
      </c>
      <c r="C11" s="41"/>
      <c r="D11" s="41" t="s">
        <v>436</v>
      </c>
    </row>
    <row r="12" spans="1:4" ht="18" customHeight="1" x14ac:dyDescent="0.35">
      <c r="A12" s="36" t="s">
        <v>437</v>
      </c>
      <c r="B12" s="37">
        <f>COUNTIF('3. Cleaned Data'!B4:B245,"Poor")</f>
        <v>50</v>
      </c>
      <c r="C12" s="38"/>
      <c r="D12" s="38" t="s">
        <v>438</v>
      </c>
    </row>
    <row r="13" spans="1:4" ht="18" customHeight="1" x14ac:dyDescent="0.35">
      <c r="A13" s="39" t="s">
        <v>439</v>
      </c>
      <c r="B13" s="40">
        <f>COUNTIF('3. Cleaned Data'!B4:B245,"Very Poor")</f>
        <v>16</v>
      </c>
      <c r="C13" s="41"/>
      <c r="D13" s="41" t="s">
        <v>440</v>
      </c>
    </row>
    <row r="14" spans="1:4" ht="18" customHeight="1" x14ac:dyDescent="0.35">
      <c r="A14" s="36" t="s">
        <v>441</v>
      </c>
      <c r="B14" s="37">
        <f>COUNTIF('3. Cleaned Data'!D4:D245,"PM2.5")</f>
        <v>133</v>
      </c>
      <c r="C14" s="38"/>
      <c r="D14" s="38" t="s">
        <v>442</v>
      </c>
    </row>
    <row r="15" spans="1:4" ht="18" customHeight="1" x14ac:dyDescent="0.35">
      <c r="A15" s="39" t="s">
        <v>443</v>
      </c>
      <c r="B15" s="40">
        <f>COUNTIF('3. Cleaned Data'!D4:D245,"PM10")</f>
        <v>73</v>
      </c>
      <c r="C15" s="41"/>
      <c r="D15" s="41" t="s">
        <v>444</v>
      </c>
    </row>
    <row r="16" spans="1:4" ht="18" customHeight="1" x14ac:dyDescent="0.35">
      <c r="A16" s="36" t="s">
        <v>445</v>
      </c>
      <c r="B16" s="42">
        <v>177</v>
      </c>
      <c r="C16" s="38"/>
      <c r="D16" s="38" t="s">
        <v>446</v>
      </c>
    </row>
    <row r="17" spans="1:4" ht="18" customHeight="1" x14ac:dyDescent="0.35">
      <c r="A17" s="39" t="s">
        <v>447</v>
      </c>
      <c r="B17" s="40">
        <f>RANK(177,'3. Cleaned Data'!C4:C245,1)</f>
        <v>163</v>
      </c>
      <c r="C17" s="41"/>
      <c r="D17" s="41" t="s">
        <v>448</v>
      </c>
    </row>
    <row r="20" spans="1:4" ht="18" customHeight="1" x14ac:dyDescent="0.35">
      <c r="A20" s="49" t="s">
        <v>449</v>
      </c>
      <c r="B20" s="49"/>
      <c r="C20" s="49"/>
      <c r="D20" s="49"/>
    </row>
    <row r="21" spans="1:4" ht="18" customHeight="1" x14ac:dyDescent="0.35">
      <c r="A21" s="50" t="s">
        <v>450</v>
      </c>
      <c r="B21" s="50"/>
      <c r="C21" s="50"/>
      <c r="D21" s="50"/>
    </row>
    <row r="22" spans="1:4" ht="37.5" customHeight="1" x14ac:dyDescent="0.35">
      <c r="A22" s="44" t="s">
        <v>451</v>
      </c>
      <c r="B22" s="44"/>
      <c r="C22" s="44"/>
      <c r="D22" s="44"/>
    </row>
    <row r="24" spans="1:4" ht="18" customHeight="1" x14ac:dyDescent="0.35">
      <c r="A24" s="45" t="s">
        <v>452</v>
      </c>
      <c r="B24" s="45"/>
      <c r="C24" s="45"/>
      <c r="D24" s="45"/>
    </row>
    <row r="25" spans="1:4" ht="37.5" customHeight="1" x14ac:dyDescent="0.35">
      <c r="A25" s="44" t="s">
        <v>453</v>
      </c>
      <c r="B25" s="44"/>
      <c r="C25" s="44"/>
      <c r="D25" s="44"/>
    </row>
    <row r="27" spans="1:4" ht="18" customHeight="1" x14ac:dyDescent="0.35">
      <c r="A27" s="46" t="s">
        <v>454</v>
      </c>
      <c r="B27" s="46"/>
      <c r="C27" s="46"/>
      <c r="D27" s="46"/>
    </row>
    <row r="28" spans="1:4" ht="37.5" customHeight="1" x14ac:dyDescent="0.35">
      <c r="A28" s="44" t="s">
        <v>455</v>
      </c>
      <c r="B28" s="44"/>
      <c r="C28" s="44"/>
      <c r="D28" s="44"/>
    </row>
    <row r="31" spans="1:4" ht="18" customHeight="1" x14ac:dyDescent="0.35">
      <c r="A31" s="47" t="s">
        <v>456</v>
      </c>
      <c r="B31" s="47"/>
      <c r="C31" s="47"/>
      <c r="D31" s="47"/>
    </row>
    <row r="32" spans="1:4" ht="18" customHeight="1" x14ac:dyDescent="0.35">
      <c r="A32" s="43" t="s">
        <v>457</v>
      </c>
      <c r="B32" s="43"/>
      <c r="C32" s="43"/>
      <c r="D32" s="43"/>
    </row>
    <row r="33" spans="1:4" ht="48" customHeight="1" x14ac:dyDescent="0.35">
      <c r="A33" s="44" t="s">
        <v>458</v>
      </c>
      <c r="B33" s="44"/>
      <c r="C33" s="44"/>
      <c r="D33" s="44"/>
    </row>
    <row r="35" spans="1:4" ht="18" customHeight="1" x14ac:dyDescent="0.35">
      <c r="A35" s="43" t="s">
        <v>459</v>
      </c>
      <c r="B35" s="43"/>
      <c r="C35" s="43"/>
      <c r="D35" s="43"/>
    </row>
    <row r="36" spans="1:4" ht="48" customHeight="1" x14ac:dyDescent="0.35">
      <c r="A36" s="44" t="s">
        <v>460</v>
      </c>
      <c r="B36" s="44"/>
      <c r="C36" s="44"/>
      <c r="D36" s="44"/>
    </row>
  </sheetData>
  <mergeCells count="14">
    <mergeCell ref="A1:D1"/>
    <mergeCell ref="A3:D3"/>
    <mergeCell ref="A20:D20"/>
    <mergeCell ref="A21:D21"/>
    <mergeCell ref="A22:D22"/>
    <mergeCell ref="A32:D32"/>
    <mergeCell ref="A33:D33"/>
    <mergeCell ref="A35:D35"/>
    <mergeCell ref="A36:D36"/>
    <mergeCell ref="A24:D24"/>
    <mergeCell ref="A25:D25"/>
    <mergeCell ref="A27:D27"/>
    <mergeCell ref="A28:D28"/>
    <mergeCell ref="A31:D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Raw Data</vt:lpstr>
      <vt:lpstr>2. Cleaning Log</vt:lpstr>
      <vt:lpstr>3. Cleaned Data</vt:lpstr>
      <vt:lpstr>4. 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Zaid Khan</cp:lastModifiedBy>
  <cp:revision>0</cp:revision>
  <dcterms:created xsi:type="dcterms:W3CDTF">2026-06-14T05:43:16Z</dcterms:created>
  <dcterms:modified xsi:type="dcterms:W3CDTF">2026-06-15T13:30:48Z</dcterms:modified>
  <dc:language>en-US</dc:language>
</cp:coreProperties>
</file>